
<file path=[Content_Types].xml><?xml version="1.0" encoding="utf-8"?>
<Types xmlns="http://schemas.openxmlformats.org/package/2006/content-type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codeName="ThisWorkbook" hidePivotFieldList="1" defaultThemeVersion="166925"/>
  <mc:AlternateContent xmlns:mc="http://schemas.openxmlformats.org/markup-compatibility/2006">
    <mc:Choice Requires="x15">
      <x15ac:absPath xmlns:x15ac="http://schemas.microsoft.com/office/spreadsheetml/2010/11/ac" url="C:\Users\Hazarous\Desktop\all for reading\ProyectoDashboard\Dashboard Excel\"/>
    </mc:Choice>
  </mc:AlternateContent>
  <xr:revisionPtr revIDLastSave="0" documentId="13_ncr:1_{80DE19D4-3DAC-48F5-9320-FED283E48F51}" xr6:coauthVersionLast="47" xr6:coauthVersionMax="47" xr10:uidLastSave="{00000000-0000-0000-0000-000000000000}"/>
  <workbookProtection workbookAlgorithmName="SHA-512" workbookHashValue="Dl2PL0bPqazyCYPgEmeHc32BoWoucV7Z0WE08ltf06aaeOUhZsJAMUA7Fm1Dl7igvai4B4bpFJGgHG2FJJUmRw==" workbookSaltValue="DfLWF5WXdfSGEJ/c3IeEWQ==" workbookSpinCount="100000" lockStructure="1"/>
  <bookViews>
    <workbookView xWindow="-120" yWindow="-120" windowWidth="15600" windowHeight="11160" firstSheet="3" activeTab="3" xr2:uid="{89D97235-996E-4CCB-B36A-06DC44FB1679}"/>
  </bookViews>
  <sheets>
    <sheet name="DatoOrigenRRHH" sheetId="13" state="veryHidden" r:id="rId1"/>
    <sheet name="Objetivos" sheetId="3" state="veryHidden" r:id="rId2"/>
    <sheet name="TD_Proceso" sheetId="6" state="veryHidden" r:id="rId3"/>
    <sheet name="Dashboard RRHH" sheetId="4" r:id="rId4"/>
  </sheets>
  <definedNames>
    <definedName name="_xlcn.WorksheetConnection_DashboardRRHH.xlsmDatoOrigenRRHH1" hidden="1">DatoOrigenRRHH[]</definedName>
    <definedName name="ExternalData_1" localSheetId="0" hidden="1">DatoOrigenRRHH!$A$1:$Z$269</definedName>
    <definedName name="Slicer_Año2">#N/A</definedName>
    <definedName name="Slicer_Mes2">#N/A</definedName>
  </definedNames>
  <calcPr calcId="191029"/>
  <pivotCaches>
    <pivotCache cacheId="0" r:id="rId5"/>
    <pivotCache cacheId="1" r:id="rId6"/>
    <pivotCache cacheId="2" r:id="rId7"/>
    <pivotCache cacheId="3" r:id="rId8"/>
    <pivotCache cacheId="4" r:id="rId9"/>
    <pivotCache cacheId="5" r:id="rId10"/>
    <pivotCache cacheId="6" r:id="rId11"/>
    <pivotCache cacheId="7" r:id="rId12"/>
    <pivotCache cacheId="8" r:id="rId13"/>
    <pivotCache cacheId="9" r:id="rId14"/>
    <pivotCache cacheId="10" r:id="rId15"/>
  </pivotCaches>
  <extLst>
    <ext xmlns:x14="http://schemas.microsoft.com/office/spreadsheetml/2009/9/main" uri="{876F7934-8845-4945-9796-88D515C7AA90}">
      <x14:pivotCaches>
        <pivotCache cacheId="11" r:id="rId16"/>
      </x14:pivotCaches>
    </ext>
    <ext xmlns:x14="http://schemas.microsoft.com/office/spreadsheetml/2009/9/main" uri="{BBE1A952-AA13-448e-AADC-164F8A28A991}">
      <x14:slicerCaches>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OrigenRRHH" name="DatoOrigenRRHH" connection="WorksheetConnection_Dashboard RRHH.xlsm!DatoOrigenRRHH"/>
          <x15:modelTable id="Calendar" name="Calendar" connection="Connection"/>
        </x15:modelTables>
        <x15:modelRelationships>
          <x15:modelRelationship fromTable="DatoOrigenRRHH" fromColumn="FECHA DE INGRESO DD/MM/AAAA" toTable="Calendar" toColumn="Date"/>
        </x15:modelRelationships>
        <x15:extLst>
          <ext xmlns:x16="http://schemas.microsoft.com/office/spreadsheetml/2014/11/main" uri="{9835A34E-60A6-4A7C-AAB8-D5F71C897F49}">
            <x16:modelTimeGroupings>
              <x16:modelTimeGrouping tableName="DatoOrigenRRHH" columnName="FECHA DE INGRESO DD/MM/AAAA" columnId="FECHA DE INGRESO DD MM AAAA">
                <x16:calculatedTimeColumn columnName="FECHA DE INGRESO DD/MM/AAAA (Year)" columnId="FECHA DE INGRESO DD MM AAAA (Year)" contentType="years" isSelected="1"/>
                <x16:calculatedTimeColumn columnName="FECHA DE INGRESO DD/MM/AAAA (Quarter)" columnId="FECHA DE INGRESO DD MM AAAA (Quarter)" contentType="quarters" isSelected="1"/>
                <x16:calculatedTimeColumn columnName="FECHA DE INGRESO DD/MM/AAAA (Month Index)" columnId="FECHA DE INGRESO DD MM AAAA (Month Index)" contentType="monthsindex" isSelected="1"/>
                <x16:calculatedTimeColumn columnName="FECHA DE INGRESO DD/MM/AAAA (Month)" columnId="FECHA DE INGRESO DD MM AAAA (Month)" contentType="months" isSelected="1"/>
              </x16:modelTimeGrouping>
            </x16:modelTimeGroupings>
          </ext>
        </x15:extLst>
      </x15:dataModel>
    </ext>
  </extLst>
</workbook>
</file>

<file path=xl/calcChain.xml><?xml version="1.0" encoding="utf-8"?>
<calcChain xmlns="http://schemas.openxmlformats.org/spreadsheetml/2006/main">
  <c r="G7" i="6" l="1"/>
  <c r="F7" i="6"/>
  <c r="E7" i="6"/>
  <c r="D7" i="6"/>
  <c r="C7" i="6"/>
  <c r="B7" i="6"/>
  <c r="A7"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CCD4C20-78D1-41C0-ABC1-FB664F0B2F07}" name="Connection" type="104" refreshedVersion="0" background="1">
    <extLst>
      <ext xmlns:x15="http://schemas.microsoft.com/office/spreadsheetml/2010/11/main" uri="{DE250136-89BD-433C-8126-D09CA5730AF9}">
        <x15:connection id="Calendar"/>
      </ext>
    </extLst>
  </connection>
  <connection id="2" xr16:uid="{FE40E9F8-36CB-4365-B208-E306B4D86C6A}" keepAlive="1" name="Query - DatoOrigenRRHH" description="Connection to the 'DatoOrigenRRHH' query in the workbook." type="5" refreshedVersion="8" background="1" saveData="1">
    <dbPr connection="Provider=Microsoft.Mashup.OleDb.1;Data Source=$Workbook$;Location=DatoOrigenRRHH;Extended Properties=&quot;&quot;" command="SELECT * FROM [DatoOrigenRRHH]"/>
  </connection>
  <connection id="3" xr16:uid="{A9B9578E-05CF-4C02-A0DE-5C87A4165077}"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4" xr16:uid="{9180955D-F61E-478E-8079-5421ED7F6286}" name="WorksheetConnection_Dashboard RRHH.xlsm!DatoOrigenRRHH" type="102" refreshedVersion="8" minRefreshableVersion="5">
    <extLst>
      <ext xmlns:x15="http://schemas.microsoft.com/office/spreadsheetml/2010/11/main" uri="{DE250136-89BD-433C-8126-D09CA5730AF9}">
        <x15:connection id="DatoOrigenRRHH">
          <x15:rangePr sourceName="_xlcn.WorksheetConnection_DashboardRRHH.xlsmDatoOrigenRRHH1"/>
        </x15:connection>
      </ext>
    </extLst>
  </connection>
</connections>
</file>

<file path=xl/sharedStrings.xml><?xml version="1.0" encoding="utf-8"?>
<sst xmlns="http://schemas.openxmlformats.org/spreadsheetml/2006/main" count="4472" uniqueCount="713">
  <si>
    <t>Hombre</t>
  </si>
  <si>
    <t>Objetivos a definir</t>
  </si>
  <si>
    <t>Total de empledos</t>
  </si>
  <si>
    <t>Total de empleados activo</t>
  </si>
  <si>
    <t>Total de empleados Inactivo</t>
  </si>
  <si>
    <t>Mujeres</t>
  </si>
  <si>
    <t>Hombres</t>
  </si>
  <si>
    <t>Total Empleados</t>
  </si>
  <si>
    <t>DOCUMENTO</t>
  </si>
  <si>
    <t>NOMBRE COMPLETO</t>
  </si>
  <si>
    <t>GENERO</t>
  </si>
  <si>
    <t>AREA</t>
  </si>
  <si>
    <t>CARGO</t>
  </si>
  <si>
    <t>SEDE</t>
  </si>
  <si>
    <t>SALARIO BÁSICO</t>
  </si>
  <si>
    <t>COMISION</t>
  </si>
  <si>
    <t xml:space="preserve">PROMEDIO DEVENGADO MENSUAL </t>
  </si>
  <si>
    <t>EPS</t>
  </si>
  <si>
    <t>AFP</t>
  </si>
  <si>
    <t xml:space="preserve">FECHA DE NACIMIENTO </t>
  </si>
  <si>
    <t>EDAD</t>
  </si>
  <si>
    <t xml:space="preserve">DIRECCION </t>
  </si>
  <si>
    <t>MUNICIPIO</t>
  </si>
  <si>
    <t xml:space="preserve">HIJOS </t>
  </si>
  <si>
    <t>FECHA DE INGRESO DD/MM/AAAA</t>
  </si>
  <si>
    <t>FECHA DE SALIDA DD/MM/AAAA</t>
  </si>
  <si>
    <t>TIPO DE CONTRATO</t>
  </si>
  <si>
    <t>ANTIGUEDAD AÑOS</t>
  </si>
  <si>
    <t>NIVEL EDUCATIVO</t>
  </si>
  <si>
    <t xml:space="preserve">ESTADO </t>
  </si>
  <si>
    <t>GRUPO EDAD</t>
  </si>
  <si>
    <t xml:space="preserve">SEGURO DE VIDA </t>
  </si>
  <si>
    <t>RANGO SALARIAL</t>
  </si>
  <si>
    <t>GENERACION</t>
  </si>
  <si>
    <t>Gabriela Londoño</t>
  </si>
  <si>
    <t>F</t>
  </si>
  <si>
    <t>PRODUCCION</t>
  </si>
  <si>
    <t>AUXILIAR DE PRODUCCION</t>
  </si>
  <si>
    <t>MEDELLIN</t>
  </si>
  <si>
    <t>SURA</t>
  </si>
  <si>
    <t>COLPENSIONES</t>
  </si>
  <si>
    <t xml:space="preserve">CRR 81 A CALEE 44 A SUR 24 N 0217 </t>
  </si>
  <si>
    <t>SAN ANTONIO DE PRADO</t>
  </si>
  <si>
    <t xml:space="preserve">SI </t>
  </si>
  <si>
    <t>INDEFINIDO</t>
  </si>
  <si>
    <t>BASICA PRIMARIA INCOMPLETA</t>
  </si>
  <si>
    <t>ACTIVO</t>
  </si>
  <si>
    <t>Mayor de 50</t>
  </si>
  <si>
    <t>SI</t>
  </si>
  <si>
    <t>Entre $ 1.000.000 y $ 3.000.000</t>
  </si>
  <si>
    <t>Baby boomers</t>
  </si>
  <si>
    <t xml:space="preserve">Adriana Patricia Guarin Giraldo </t>
  </si>
  <si>
    <t>ADMINISTRACION</t>
  </si>
  <si>
    <t>DIRECTORA DE RRHH</t>
  </si>
  <si>
    <t xml:space="preserve">PROTECCION  </t>
  </si>
  <si>
    <t>CARRERA 48 B 83-72</t>
  </si>
  <si>
    <t>CALDAS</t>
  </si>
  <si>
    <t>NO</t>
  </si>
  <si>
    <t xml:space="preserve">PREGRADO </t>
  </si>
  <si>
    <t>Entre 30 y 50</t>
  </si>
  <si>
    <t>Los millennials</t>
  </si>
  <si>
    <t>Alejandra Henao Mesa</t>
  </si>
  <si>
    <t>BOGOTA</t>
  </si>
  <si>
    <t>PROTECCION</t>
  </si>
  <si>
    <t>LLANOS DE CUIVA</t>
  </si>
  <si>
    <t>YARUMAL</t>
  </si>
  <si>
    <t>no</t>
  </si>
  <si>
    <t>BACHILLER</t>
  </si>
  <si>
    <t>Menor de 30</t>
  </si>
  <si>
    <t>Generación Z</t>
  </si>
  <si>
    <t xml:space="preserve">Alejandra Perez Arango </t>
  </si>
  <si>
    <t>NUEVA EPS</t>
  </si>
  <si>
    <t xml:space="preserve">PROTECCION </t>
  </si>
  <si>
    <t xml:space="preserve">Alexander de Jesus Ramirez Ramirez </t>
  </si>
  <si>
    <t>M</t>
  </si>
  <si>
    <t>PORVENIR</t>
  </si>
  <si>
    <t xml:space="preserve">VEREDA ZARCITOS </t>
  </si>
  <si>
    <t>MONTEBELLO</t>
  </si>
  <si>
    <t xml:space="preserve">Alexander Varela Muñoz </t>
  </si>
  <si>
    <t>CALI</t>
  </si>
  <si>
    <t xml:space="preserve">PORVENIR </t>
  </si>
  <si>
    <t>CALLE 57 D # 24 BB 45</t>
  </si>
  <si>
    <t>INACTIVO</t>
  </si>
  <si>
    <t>Alonso De Jesus Montoya Gil</t>
  </si>
  <si>
    <t>VEREDA LA CLARA</t>
  </si>
  <si>
    <t>Andres Caro Muñoz</t>
  </si>
  <si>
    <t>SAVIA SALUD</t>
  </si>
  <si>
    <t>PROTECCIÓN</t>
  </si>
  <si>
    <t>CR 50 AA #98 A 17</t>
  </si>
  <si>
    <t>TECNICO</t>
  </si>
  <si>
    <t xml:space="preserve">Andrea Posada Zapata </t>
  </si>
  <si>
    <t xml:space="preserve">VEREDA LA SALADA </t>
  </si>
  <si>
    <t xml:space="preserve">CALDAS </t>
  </si>
  <si>
    <t>Andres Felipe  Arrubla Ocampo</t>
  </si>
  <si>
    <t>VENTAS</t>
  </si>
  <si>
    <t>ASESOR COMERCIAL</t>
  </si>
  <si>
    <t>CARRERA 45 A# 34 SUR 57</t>
  </si>
  <si>
    <t>ENVIGADO</t>
  </si>
  <si>
    <t>Andres Felipe Castañeda Medina</t>
  </si>
  <si>
    <t>AUXILIAR DE MANTENIMIENTO</t>
  </si>
  <si>
    <t>V. LA SALADA P. BAJA LA CALLE</t>
  </si>
  <si>
    <t>Angel Alejandro Abreu Espinoza</t>
  </si>
  <si>
    <t>CALLE 59 CARRERA 67</t>
  </si>
  <si>
    <t xml:space="preserve">Manuela Hincapie Castaño </t>
  </si>
  <si>
    <t>PROYECTOS</t>
  </si>
  <si>
    <t>ASESOR DE PROYECTOS</t>
  </si>
  <si>
    <t>SANITAS</t>
  </si>
  <si>
    <t>CLL 61 B SUR # 40 - 21</t>
  </si>
  <si>
    <t>CHAGUALO</t>
  </si>
  <si>
    <t>Generación X</t>
  </si>
  <si>
    <t xml:space="preserve">Angelica Maria Velez Castro </t>
  </si>
  <si>
    <t>APRENDIZ</t>
  </si>
  <si>
    <t>PROTECCIÒN</t>
  </si>
  <si>
    <t>CARRERA 51 N128 SUR 56</t>
  </si>
  <si>
    <t>Carlos Alberto Correa Mesa</t>
  </si>
  <si>
    <t>OPERARIO DE MAQUINA</t>
  </si>
  <si>
    <t>CALLE 23 B 21 -21</t>
  </si>
  <si>
    <t>Carlos Alberto Lopez Gomez</t>
  </si>
  <si>
    <t>COLFONDOS</t>
  </si>
  <si>
    <t>LLANOS DE CUIVA-LA ESTACION</t>
  </si>
  <si>
    <t xml:space="preserve">BASICA PRIMARIA </t>
  </si>
  <si>
    <t>Carlos Alberto Lopez Lopez</t>
  </si>
  <si>
    <t>CLL 54 SUR 59 D 33</t>
  </si>
  <si>
    <t>PRADO</t>
  </si>
  <si>
    <t xml:space="preserve">Carlos Andres Restrepo </t>
  </si>
  <si>
    <t>Carlos Andres Rodriguez Betancur</t>
  </si>
  <si>
    <t>SALUD TOTAL</t>
  </si>
  <si>
    <t xml:space="preserve">VEREDA LA TOLVA </t>
  </si>
  <si>
    <t xml:space="preserve">BACHILLER INCOMPLETO </t>
  </si>
  <si>
    <t>Carlos Arquidio Grajales Corrales</t>
  </si>
  <si>
    <t>VERSALLES</t>
  </si>
  <si>
    <t>SANTA BARBARA</t>
  </si>
  <si>
    <t>Carlos Augusto De Agustin Herrera</t>
  </si>
  <si>
    <t>CALLE 24A # 15B-04</t>
  </si>
  <si>
    <t>Carlos Daniel Correa Cuervo</t>
  </si>
  <si>
    <t>Carlos Emilio Upegui Valencia</t>
  </si>
  <si>
    <t>CLL 143 SUR 52-39</t>
  </si>
  <si>
    <t>Carla Bustamante Castaño</t>
  </si>
  <si>
    <t xml:space="preserve">SALUD TOTAL </t>
  </si>
  <si>
    <t>DIAGONAL 38 # 32 - 61</t>
  </si>
  <si>
    <t>ITAGUI, ANTIOQUIA</t>
  </si>
  <si>
    <t>Carla Johana Alvarado Alvarado</t>
  </si>
  <si>
    <t xml:space="preserve">NUEVA EPS </t>
  </si>
  <si>
    <t xml:space="preserve">COLPENSIONES </t>
  </si>
  <si>
    <t>VEREDA LA SALDA PARTE ALTA</t>
  </si>
  <si>
    <t>Carlos Mario Garcia Castrillon</t>
  </si>
  <si>
    <t>COORDINADOR DE INVENTARIO</t>
  </si>
  <si>
    <t>TRANVERSAL 38 AA #59-231</t>
  </si>
  <si>
    <t>BELLO</t>
  </si>
  <si>
    <t xml:space="preserve">Cesar Augusto Arboleda Londoño </t>
  </si>
  <si>
    <t xml:space="preserve">COLPENCIONES </t>
  </si>
  <si>
    <t>CRA 28 N 56 - 08</t>
  </si>
  <si>
    <t xml:space="preserve">ITAGUI </t>
  </si>
  <si>
    <t xml:space="preserve">Cesar de Jesus Lujan Quiros </t>
  </si>
  <si>
    <t xml:space="preserve">LLANOS DE CUIVA </t>
  </si>
  <si>
    <t xml:space="preserve">YARUMAL </t>
  </si>
  <si>
    <t>Cristina Munera Correa</t>
  </si>
  <si>
    <t>AUXILIAR  SST</t>
  </si>
  <si>
    <t>COOMEVA</t>
  </si>
  <si>
    <t>CRA 68# 106 B-18 APTO 301</t>
  </si>
  <si>
    <t xml:space="preserve">Cristian Manuel Berrio Tirado </t>
  </si>
  <si>
    <t>COOSALUD</t>
  </si>
  <si>
    <t xml:space="preserve">PATIO BONITO </t>
  </si>
  <si>
    <t>Cristian Arley Rendon Grajales</t>
  </si>
  <si>
    <t>LA QUIEBRITA VERSALLES</t>
  </si>
  <si>
    <t>Cristian andres Rivera</t>
  </si>
  <si>
    <t>CR 86B#98BB-12</t>
  </si>
  <si>
    <t>Cristian Bedoya Restrepo</t>
  </si>
  <si>
    <t>CALLE 80 SUR #62-11</t>
  </si>
  <si>
    <t>LA ETSRELLA</t>
  </si>
  <si>
    <t>Cristian Danilo Cardona Alcaraz</t>
  </si>
  <si>
    <t>Cristian Esteban Ruiz Grisales</t>
  </si>
  <si>
    <t xml:space="preserve">VEREDA EL SOCORRO </t>
  </si>
  <si>
    <t>MONTE BELLO</t>
  </si>
  <si>
    <t>Daniel Esteban Velasquez Muñoz</t>
  </si>
  <si>
    <t>COORDINADOR DE INNOVACION Y DESARROLLO</t>
  </si>
  <si>
    <t>CALLE 53 C SUR # 40 B 78</t>
  </si>
  <si>
    <t xml:space="preserve">David Felipe Betancur Ospina </t>
  </si>
  <si>
    <t>CALLE 17 N 19-49</t>
  </si>
  <si>
    <t xml:space="preserve">Daniela  Varela Muñoz </t>
  </si>
  <si>
    <t>CRR 50 AA # 98 - 17</t>
  </si>
  <si>
    <t xml:space="preserve">MEDELLIN </t>
  </si>
  <si>
    <t>Dario Humberto Arroyave Perez</t>
  </si>
  <si>
    <t>Diego Alejandro Espianal Arboleda</t>
  </si>
  <si>
    <t>CONDUCTOR</t>
  </si>
  <si>
    <t>CRA 64 A # 29 - 52</t>
  </si>
  <si>
    <t>ITAGUI</t>
  </si>
  <si>
    <t>Diego Alexander Holguin Arango</t>
  </si>
  <si>
    <t>COORDINADOR DE CALIDAD</t>
  </si>
  <si>
    <t xml:space="preserve">COOLPENSIONES </t>
  </si>
  <si>
    <t>Diego Alonso Rodriguez Sanchez</t>
  </si>
  <si>
    <t>VDA LA SALADA PARTE BAJA</t>
  </si>
  <si>
    <t>Duvan Urley Rendon Vargas</t>
  </si>
  <si>
    <t>LA OPERA</t>
  </si>
  <si>
    <t>Eder Jose Contreras Trujillo</t>
  </si>
  <si>
    <t>VEREDA LA CALLE</t>
  </si>
  <si>
    <t>Eduin Arturo Ramirez Velasquez</t>
  </si>
  <si>
    <t>CALDERISTA</t>
  </si>
  <si>
    <t>VEREDA LA QUIEBRA</t>
  </si>
  <si>
    <t>Edwin Humberto  Osorio Vasquez</t>
  </si>
  <si>
    <t>JEFE DE PROCESO</t>
  </si>
  <si>
    <t>CLL 135 B SUR N 46 10APTO 401</t>
  </si>
  <si>
    <t>Eladio De Jesus Escobar Ramirez</t>
  </si>
  <si>
    <t>DESPACHADOR</t>
  </si>
  <si>
    <t>VEREDA LA SALADA</t>
  </si>
  <si>
    <t>Elider Alberto Cardenas Cardenas</t>
  </si>
  <si>
    <t xml:space="preserve"> CARRERA 80 A # 117-63</t>
  </si>
  <si>
    <t>Eli Ortiz Perez</t>
  </si>
  <si>
    <t>CL 106 50 -200</t>
  </si>
  <si>
    <t>Elizabeth Agudelo Ocampo</t>
  </si>
  <si>
    <t xml:space="preserve">VEREDA MEDIA LUNA </t>
  </si>
  <si>
    <t>Elmer Antonio Garcia Rincon</t>
  </si>
  <si>
    <t>VEREDA EL 60</t>
  </si>
  <si>
    <t xml:space="preserve">Elvis Greiver Campos Oviedo </t>
  </si>
  <si>
    <t xml:space="preserve">LA CALLE </t>
  </si>
  <si>
    <t xml:space="preserve">Erika Daniela Camelo Rodriguez </t>
  </si>
  <si>
    <t>AUXILIAR ADMINISTRATIVA</t>
  </si>
  <si>
    <t>CRR 3 N 48 - 45</t>
  </si>
  <si>
    <t>COPACABANA</t>
  </si>
  <si>
    <t xml:space="preserve">Esneider Yepes Pineda </t>
  </si>
  <si>
    <t>CALLE 20 # 24 - 73</t>
  </si>
  <si>
    <t>Fabio Arango Orozco</t>
  </si>
  <si>
    <t>TECNICO DE MANTENIMIENTO</t>
  </si>
  <si>
    <t>CLL 48 N 70B  18</t>
  </si>
  <si>
    <t>RIONEGRO</t>
  </si>
  <si>
    <t>Fabio Nelson Correa Castañeda</t>
  </si>
  <si>
    <t>LA CALLE</t>
  </si>
  <si>
    <t>Fernando Alexis Gomez Ospina</t>
  </si>
  <si>
    <t>CRA 64 B# 34-96 APTO 153</t>
  </si>
  <si>
    <t>Ferney Alejandro Ramirez Ramirez</t>
  </si>
  <si>
    <t>ZARCITOS</t>
  </si>
  <si>
    <t>Fredy alejandro muriel piedrahita</t>
  </si>
  <si>
    <t>PERVENIR</t>
  </si>
  <si>
    <t xml:space="preserve">vereda la chuscala </t>
  </si>
  <si>
    <t>Gabriel Angel Deosa Gil</t>
  </si>
  <si>
    <t>CORREGIMIENTO DE VERSALLES</t>
  </si>
  <si>
    <t>Gabriela Vanegas Muriel</t>
  </si>
  <si>
    <t>CRR 89C N 31 DA 49</t>
  </si>
  <si>
    <t xml:space="preserve">German Alonso Ramirez Restrepo </t>
  </si>
  <si>
    <t>AUXILIAR DE SST</t>
  </si>
  <si>
    <t xml:space="preserve">POLICIA NACIONAL </t>
  </si>
  <si>
    <t>CRR 49 135 A SUR 29 APTO 218</t>
  </si>
  <si>
    <t xml:space="preserve">HOSPITAL </t>
  </si>
  <si>
    <t>Gildardo Antonio Gaviria Castañeda</t>
  </si>
  <si>
    <t>LA CALLE ,CALDAS</t>
  </si>
  <si>
    <t>Giovanny Augusto Rios Lopera</t>
  </si>
  <si>
    <t>CLL 28 A # 13-58</t>
  </si>
  <si>
    <t>Gladis Elena Zapata Guerra</t>
  </si>
  <si>
    <t>Gloria Eugenia Mena Varela</t>
  </si>
  <si>
    <t xml:space="preserve">VILLA JOMABER </t>
  </si>
  <si>
    <t>Guillermo De Jesús Holguin Torres</t>
  </si>
  <si>
    <t>SAN ANT. DE PRADO,VEREDA LA FLORIDA</t>
  </si>
  <si>
    <t>Hector De Jesus Escobar Arias</t>
  </si>
  <si>
    <t>VEREDA LA HONDA</t>
  </si>
  <si>
    <t>Henry Anibal Muñoz Ortiz</t>
  </si>
  <si>
    <t>CLL 135 A SUR 46-13 APTO 402</t>
  </si>
  <si>
    <t>Entre $ 3.000.000 y $ 5.000.000</t>
  </si>
  <si>
    <t>Hernan David Rua Fernandez</t>
  </si>
  <si>
    <t>Hernando Alberto Giraldo Muñoz</t>
  </si>
  <si>
    <t>Calle95# 50  A 32</t>
  </si>
  <si>
    <t>ARANJUEZ</t>
  </si>
  <si>
    <t>Humberto Adan Toro Toro</t>
  </si>
  <si>
    <t>CALDAS,VEREDA EL COMINO</t>
  </si>
  <si>
    <t>Humberto De Jesus Botero Yepes</t>
  </si>
  <si>
    <t>VERSALLES SECTOR LA OPERA</t>
  </si>
  <si>
    <t xml:space="preserve">Ivan Dario Botero Yepes </t>
  </si>
  <si>
    <t>Johana Barraza Beltran</t>
  </si>
  <si>
    <t>CRA 50 # 44 - 250</t>
  </si>
  <si>
    <t xml:space="preserve">Jenny Marcela tamayo </t>
  </si>
  <si>
    <t>CALLE 23A #22-82</t>
  </si>
  <si>
    <t>Jesus Alberto Sanchez Montoya</t>
  </si>
  <si>
    <t>Jesus Alonso Ochoa Restrepo</t>
  </si>
  <si>
    <t>OPERARIO MONTACARGA</t>
  </si>
  <si>
    <t xml:space="preserve">MEDIMAS </t>
  </si>
  <si>
    <t>LLANOS DE CUIBA</t>
  </si>
  <si>
    <t>Jesus Antonio Osorio Vargas</t>
  </si>
  <si>
    <t>VEREDA EL SESENTA</t>
  </si>
  <si>
    <t xml:space="preserve">Jheisson David Gonzalez Bolivar </t>
  </si>
  <si>
    <t xml:space="preserve">AUXILAIR DE PRODUCCION </t>
  </si>
  <si>
    <t xml:space="preserve">COLFONDOS </t>
  </si>
  <si>
    <t>CALLE 38 SUR 84 A 19 INT 115</t>
  </si>
  <si>
    <t>Jhoan Sebastian Cardona Alvarez</t>
  </si>
  <si>
    <t>CALLE CORDOBA</t>
  </si>
  <si>
    <t>Jhoan Sebastian Rendon Ramirez</t>
  </si>
  <si>
    <t>VEREDA ZARCITOS</t>
  </si>
  <si>
    <t>Jhojan Arley Rendon Obando</t>
  </si>
  <si>
    <t>VEREDA  ZARCITOS</t>
  </si>
  <si>
    <t>Alexandra Restrepo Gomez</t>
  </si>
  <si>
    <t>CRA25#14-94</t>
  </si>
  <si>
    <t>Jhon Jairo Lopez Calle</t>
  </si>
  <si>
    <t>Jhon Jairo Ramirez  Ramirez</t>
  </si>
  <si>
    <t xml:space="preserve">Jhon Alexander Agudelo Gonzalez </t>
  </si>
  <si>
    <t>CALLE 22 N 25-08</t>
  </si>
  <si>
    <t>John Jairo Correa Ramirez</t>
  </si>
  <si>
    <t>Johnathan Gonzalez Bolivar</t>
  </si>
  <si>
    <t>CLL 12 # 14A - 30 INT 115</t>
  </si>
  <si>
    <t>MEDELLIN - NARANJITOS</t>
  </si>
  <si>
    <t>Jonatan Andres Perez Gomez</t>
  </si>
  <si>
    <t xml:space="preserve">Jonny Alexander Giraldo Cardona </t>
  </si>
  <si>
    <t>VEREDA LA 60</t>
  </si>
  <si>
    <t>EL 60</t>
  </si>
  <si>
    <t>Jorge Alcides Lopez Lopez</t>
  </si>
  <si>
    <t>VEREDA LA CORRALA</t>
  </si>
  <si>
    <t>Jorge Andres Porras Zapata</t>
  </si>
  <si>
    <t>ALTO DE MINAS</t>
  </si>
  <si>
    <t>EL COMINO</t>
  </si>
  <si>
    <t>Jorge Armando Echavarria Montoya</t>
  </si>
  <si>
    <t>Jorge Eliecer Henriquez Ceballos</t>
  </si>
  <si>
    <t>DIRECTOR DE PLANTA</t>
  </si>
  <si>
    <t>LA SALADA,LA CALLE</t>
  </si>
  <si>
    <t>Jorge Luis Lopez Valderrama</t>
  </si>
  <si>
    <t>CLL 106 N 50 200</t>
  </si>
  <si>
    <t>Jose David Bedoya Castañeda</t>
  </si>
  <si>
    <t>CLL 139 # 52-200</t>
  </si>
  <si>
    <t>Jose Fernando Ossa Medina</t>
  </si>
  <si>
    <t>Jose Julian Estrada Pavas</t>
  </si>
  <si>
    <t>Jose Norberto Rendon Angel</t>
  </si>
  <si>
    <t>CRA 42 B # 26 A SUR 19 INTERIOR 301</t>
  </si>
  <si>
    <t>Juan David Ramirez Toro</t>
  </si>
  <si>
    <t>Juan Camilo Gomez Mejia</t>
  </si>
  <si>
    <t>DIRECTOR DE INVENTARIOS</t>
  </si>
  <si>
    <t>CRR 82 N° 38 SUR 24</t>
  </si>
  <si>
    <t>Juan Dagoberto Rodriguez Palomino</t>
  </si>
  <si>
    <t>AFILADOR</t>
  </si>
  <si>
    <t>CLL 55 # 49 - 08</t>
  </si>
  <si>
    <t>LA MILAGROSA</t>
  </si>
  <si>
    <t>Juana Ardila Garcia</t>
  </si>
  <si>
    <t>CALLE 24 # 19-63</t>
  </si>
  <si>
    <t>Juan David Moreno Sanchez</t>
  </si>
  <si>
    <t xml:space="preserve">COORDINADOR DE BOSQUES </t>
  </si>
  <si>
    <t>CARRERA 50 # 137 A SUR 15</t>
  </si>
  <si>
    <t xml:space="preserve">Juan Fernando Florez Lema </t>
  </si>
  <si>
    <t>AUXILIAR  DE DESPACHOS</t>
  </si>
  <si>
    <t>CALLE 40 E SUR # 30 - 25</t>
  </si>
  <si>
    <t>Juan Pablo Buritica Gutierrez</t>
  </si>
  <si>
    <t xml:space="preserve">CARRERA 7 ESTE 10-33 </t>
  </si>
  <si>
    <t>Juan Pablo Lopez Toro</t>
  </si>
  <si>
    <t>COORDINADOR DE MERCADEO Y SERVICIO AL CLIENTE</t>
  </si>
  <si>
    <t>CR 51A N 96-64</t>
  </si>
  <si>
    <t>MEDELLIN,ARANJUEZ</t>
  </si>
  <si>
    <t>Juan Fernando Garcia Montes</t>
  </si>
  <si>
    <t>CLL 34 #30 - 70</t>
  </si>
  <si>
    <t>DON MATIAS</t>
  </si>
  <si>
    <t>Juan Pablo Soto Ramirez</t>
  </si>
  <si>
    <t>CALLE 65 SUR # 40-18 APTO 505</t>
  </si>
  <si>
    <t>SABANETA</t>
  </si>
  <si>
    <t>Juber Erney Vasquez Correa</t>
  </si>
  <si>
    <t>Julian Esteban Garcia Murillo</t>
  </si>
  <si>
    <t>VEREDA PALOCOPOSO</t>
  </si>
  <si>
    <t>Juliana Amparo Perez Jaramillo</t>
  </si>
  <si>
    <t>Junior Alejandro Jaramillo Quintero</t>
  </si>
  <si>
    <t xml:space="preserve">VEREDA LA SALADA P BAJA </t>
  </si>
  <si>
    <t xml:space="preserve">Kevin Echavarria medina </t>
  </si>
  <si>
    <t>Kelly Johanna Ayala Del Toro</t>
  </si>
  <si>
    <t>AUXILIAR CONTABLE</t>
  </si>
  <si>
    <t>CALLE 142 SUR # 51 - 138</t>
  </si>
  <si>
    <t xml:space="preserve">Paola Montoya Acevedo </t>
  </si>
  <si>
    <t>CRA 53 # 140 SUR 13</t>
  </si>
  <si>
    <t xml:space="preserve">Keven Villa Quiroz </t>
  </si>
  <si>
    <t>CRA 55 # 16 B 5</t>
  </si>
  <si>
    <t>Laura Vanessa Chima Gonzalez</t>
  </si>
  <si>
    <t>CLLL 22 # 17 40</t>
  </si>
  <si>
    <t>Leon Dario Ramirez Ramirez</t>
  </si>
  <si>
    <t>VERSALLES BARRIO LA OPERA</t>
  </si>
  <si>
    <t>Lina Maria Gil Gallego</t>
  </si>
  <si>
    <t>CONTADORA</t>
  </si>
  <si>
    <t>CALLE 142 SUR #51-68</t>
  </si>
  <si>
    <t>Luis Alberto Areiza Villa</t>
  </si>
  <si>
    <t xml:space="preserve">Luis Alberto Agudelo </t>
  </si>
  <si>
    <t xml:space="preserve">CALLE 12 #26-08 B </t>
  </si>
  <si>
    <t>Luis Alejandro  Suarez Gil</t>
  </si>
  <si>
    <t>CLL 122 SUR N 50-62</t>
  </si>
  <si>
    <t>CALDAS BELLAVISTA</t>
  </si>
  <si>
    <t>Luis Carlos Lopez Betancur</t>
  </si>
  <si>
    <t>LA SALADA PARTE BAJA</t>
  </si>
  <si>
    <t>Luis David Jimenez Correa</t>
  </si>
  <si>
    <t>QUIEBRA DEL BARRO</t>
  </si>
  <si>
    <t xml:space="preserve">Luis Eduardo Pemberty Villegas </t>
  </si>
  <si>
    <t xml:space="preserve">PARQUE PRINCIPAL </t>
  </si>
  <si>
    <t>Luis Enrique  Correa Mesa</t>
  </si>
  <si>
    <t>CRA18 A#12-09</t>
  </si>
  <si>
    <t>Luis Fernando Perez Tamayo</t>
  </si>
  <si>
    <t>YARUAMAL</t>
  </si>
  <si>
    <t>Luis Fernando Rodriguez Palomino</t>
  </si>
  <si>
    <t>CLL 56 N 63 021</t>
  </si>
  <si>
    <t>Luis Ferney Rendon Rios</t>
  </si>
  <si>
    <t>VEREDA LA HONDA MONTEBELLO</t>
  </si>
  <si>
    <t>Manuel Antonio Villegas Mena</t>
  </si>
  <si>
    <t>CRR 50 CALLE 106 SUR 00</t>
  </si>
  <si>
    <t>LA ESTRELLA</t>
  </si>
  <si>
    <t>Maria Camila Montoya Vargas</t>
  </si>
  <si>
    <t>CALE 142 SUR #  51-120</t>
  </si>
  <si>
    <t>Maria Celina Velasquez Posada</t>
  </si>
  <si>
    <t>REVISORA FISCAL</t>
  </si>
  <si>
    <t>CRR 41 N 49-92</t>
  </si>
  <si>
    <t>Maria Jose Uribe Diez</t>
  </si>
  <si>
    <t>N/A</t>
  </si>
  <si>
    <t>CALLE 140 47-24</t>
  </si>
  <si>
    <t>Mariana De Jesus Tapias Garcia</t>
  </si>
  <si>
    <t xml:space="preserve"> CRRA 25# 12- 110</t>
  </si>
  <si>
    <t>Mauricio Alberto Hernandez Florez</t>
  </si>
  <si>
    <t>LA VALERIA</t>
  </si>
  <si>
    <t>Mauro Stiven Montoya Casas</t>
  </si>
  <si>
    <t>AUXILIAR DE  VENTAS</t>
  </si>
  <si>
    <t xml:space="preserve">CRR 53 73-28 </t>
  </si>
  <si>
    <t>Miguel Angel Correa Mesa</t>
  </si>
  <si>
    <t>CALEE 23 B N°22-21</t>
  </si>
  <si>
    <t>Maria Rendon Arias</t>
  </si>
  <si>
    <t>Miryam Astrid Osorio Morales</t>
  </si>
  <si>
    <t>CLL 97 N 81-69</t>
  </si>
  <si>
    <t>Monica Alejandra Perez Perez</t>
  </si>
  <si>
    <t>Natalia Andrea Gomez Mercado</t>
  </si>
  <si>
    <t>CR 83 AC CL 92 A - 6</t>
  </si>
  <si>
    <t>Nathaly Castro Gallego</t>
  </si>
  <si>
    <t>TESORERIA</t>
  </si>
  <si>
    <t>CR 48 129 SUR 14</t>
  </si>
  <si>
    <t>Neiro De Jesus Correa Cuervo</t>
  </si>
  <si>
    <t>LA 70 CALLE 10-8 A 13 VERSALLES</t>
  </si>
  <si>
    <t>Nelson Alquibar Patiño Mazo</t>
  </si>
  <si>
    <t>CR 16 # 23-17</t>
  </si>
  <si>
    <t xml:space="preserve">Norbey Alonso Bedoya Cuervo </t>
  </si>
  <si>
    <t xml:space="preserve">SALADA PARTE BAJA </t>
  </si>
  <si>
    <t>Ocaris Antono Carrasquilla</t>
  </si>
  <si>
    <t>CLL 15# 22</t>
  </si>
  <si>
    <t>Olga Lucia Galvis Rios</t>
  </si>
  <si>
    <t>COORDINADORA R.H</t>
  </si>
  <si>
    <t xml:space="preserve">CR 54 N 131 SUR 42 </t>
  </si>
  <si>
    <t>Xiomara Maria Arevalo Alvarez</t>
  </si>
  <si>
    <t>COORDINADORA PUNTO DE VENTA</t>
  </si>
  <si>
    <t>CALLE 23 # 41-70</t>
  </si>
  <si>
    <t>MEDELLIN-POBLADO</t>
  </si>
  <si>
    <t>Orlando Antonio Posada Zabala</t>
  </si>
  <si>
    <t>VEREDA LA TOLVA</t>
  </si>
  <si>
    <t>Oscar De Jesus Escobar Escobar</t>
  </si>
  <si>
    <t>oscar orlando bedoya castañeda</t>
  </si>
  <si>
    <t>CR 50 CALLE 138 SUR 46</t>
  </si>
  <si>
    <t>CLADAS</t>
  </si>
  <si>
    <t>Oscar Esneider Hoyos Velez</t>
  </si>
  <si>
    <t>MENSAJERO</t>
  </si>
  <si>
    <t>CRR 52 94-53</t>
  </si>
  <si>
    <t xml:space="preserve">MEDELLIN,ARANJUEZ </t>
  </si>
  <si>
    <t>Luz Londoño Zabala</t>
  </si>
  <si>
    <t>CARREA 24 # 17-49</t>
  </si>
  <si>
    <t>Paula Andrea Quiceno Osorio</t>
  </si>
  <si>
    <t>FACTURACION</t>
  </si>
  <si>
    <t>COFONDOS</t>
  </si>
  <si>
    <t>CALLE 135 B SUR # 46-10</t>
  </si>
  <si>
    <t>Pedro Palomino Mosquera Gutierres</t>
  </si>
  <si>
    <t>CRUZ BLANCA</t>
  </si>
  <si>
    <t>CRRA 43 Nº 108 77</t>
  </si>
  <si>
    <t>Rayme Lasnalla Velandia Gutierrez</t>
  </si>
  <si>
    <t>CRR 48 CALLE 140 SUR 45</t>
  </si>
  <si>
    <t>Robinson Hernandez Castro</t>
  </si>
  <si>
    <t>VEREDA LA CHUSCALA</t>
  </si>
  <si>
    <t>Rosendo Albeiro Arias Jimenez</t>
  </si>
  <si>
    <t>COORDINADOR SST</t>
  </si>
  <si>
    <t>CALLE 45 # 21-26</t>
  </si>
  <si>
    <t xml:space="preserve"> MEDELLIN</t>
  </si>
  <si>
    <t>Ruben Dario Estrada Betancur</t>
  </si>
  <si>
    <t xml:space="preserve">Santiago Andres Marin Restrepo </t>
  </si>
  <si>
    <t>Santiago Antonio Villada Suaza</t>
  </si>
  <si>
    <t xml:space="preserve">CLL CORDOBA  CR BOLIVAR  50 -83 CASA </t>
  </si>
  <si>
    <t>Santiago De Jesus Arroyave Taborda</t>
  </si>
  <si>
    <t>CALLE 22 # 23 - 29</t>
  </si>
  <si>
    <t xml:space="preserve">Santiago Franco Lopez </t>
  </si>
  <si>
    <t>AUXILIAR DE CALIDAD</t>
  </si>
  <si>
    <t>CLL 101 SUR # 44 A 150</t>
  </si>
  <si>
    <t>Santiago Velasquez Bustamante</t>
  </si>
  <si>
    <t>GERENTE</t>
  </si>
  <si>
    <t>CLL 41B SUR 43A 75</t>
  </si>
  <si>
    <t>Mayor a $ 5.000.000</t>
  </si>
  <si>
    <t>Saul Antonio Vasquez Sanchez</t>
  </si>
  <si>
    <t>MANDALAY</t>
  </si>
  <si>
    <t>Sebastian Mesa Zabala</t>
  </si>
  <si>
    <t>CALLE 12 # 18 A 05</t>
  </si>
  <si>
    <t>Sergio Andres Perez Arango</t>
  </si>
  <si>
    <t>PROTECCON</t>
  </si>
  <si>
    <t>CLLE 18 # 23-80</t>
  </si>
  <si>
    <t>Stiven Rua Urrego</t>
  </si>
  <si>
    <t>CLLE 133 SUR # 44 A 45</t>
  </si>
  <si>
    <t xml:space="preserve">Ubeimar Alexis Vasquez Chavarria </t>
  </si>
  <si>
    <t>CRR 24 # 21 - 51</t>
  </si>
  <si>
    <t>Natalia Jimenez</t>
  </si>
  <si>
    <t>BARRIO LA AZULITA</t>
  </si>
  <si>
    <t>Juana Terranova</t>
  </si>
  <si>
    <t>CR 51 CLL 124 A SUR - 13</t>
  </si>
  <si>
    <t>Viviana Milena Osorio Vasquez</t>
  </si>
  <si>
    <t>Teresa Hilera</t>
  </si>
  <si>
    <t>VEREDA VALLECITOS</t>
  </si>
  <si>
    <t>SANTA ROSA DE OSOS</t>
  </si>
  <si>
    <t>Martina Hernandez</t>
  </si>
  <si>
    <t>CRR 76- 45 SUR 105 AP 215</t>
  </si>
  <si>
    <t>Wilfer Jovany Lezcano Durango</t>
  </si>
  <si>
    <t>Willinton De Jesus Arenas Tobón</t>
  </si>
  <si>
    <t>CLL 25 B N° 21-11</t>
  </si>
  <si>
    <t>Wilmar De Jesus Barrientos Zea</t>
  </si>
  <si>
    <t>CLL 12 C # 26 A 15</t>
  </si>
  <si>
    <t>Wilmar De Jesus Ramirez Cuervo</t>
  </si>
  <si>
    <t>VEREDA VERSALLES SECTOR LA OPERAS</t>
  </si>
  <si>
    <t>Wilmar Ferney Torres Torres</t>
  </si>
  <si>
    <t>CALLE 22 # 17-75</t>
  </si>
  <si>
    <t>Wilmer Alexander Patiño Mesa</t>
  </si>
  <si>
    <t>CR 24 # 21-51</t>
  </si>
  <si>
    <t>Omaira Jimenez Jaramillo</t>
  </si>
  <si>
    <t>CALLLE 139C SUR # 52-24</t>
  </si>
  <si>
    <t>CALDAS MANDALAY</t>
  </si>
  <si>
    <t>Yeison Elias Vasco julio</t>
  </si>
  <si>
    <t>URB JOSE MARIA CORDOBA</t>
  </si>
  <si>
    <t>Yener Arley Agudelo Aguirre</t>
  </si>
  <si>
    <t>CR 52 N 95-48 APTO 302</t>
  </si>
  <si>
    <t>Yesid Uriel Mazo Areiza</t>
  </si>
  <si>
    <t>SAN RAFAEL</t>
  </si>
  <si>
    <t>Yohan Andres Correa Castañeda</t>
  </si>
  <si>
    <t>VEREDA LA SALADA,LA CALLE</t>
  </si>
  <si>
    <t>Yulian Anibal Vasquez Correa</t>
  </si>
  <si>
    <t>SALADA PARTE BAJA</t>
  </si>
  <si>
    <t>ADRIAN ALBERTO TORRES</t>
  </si>
  <si>
    <t>OPERARIO DE CARPINTERIA</t>
  </si>
  <si>
    <t>CRR 61F 40B SUR 39</t>
  </si>
  <si>
    <t>DIEGO LEON CORREA LOPERA</t>
  </si>
  <si>
    <t>ELECTRICISTA</t>
  </si>
  <si>
    <t>CRA 85# 66-72</t>
  </si>
  <si>
    <t>DUVAN ALEJANDRO VANEGAS VANEGAS</t>
  </si>
  <si>
    <t>CRA 55  42 SUR 44</t>
  </si>
  <si>
    <t xml:space="preserve">FERNANDO JOSE RAMIREZ BOCARANDA </t>
  </si>
  <si>
    <t xml:space="preserve">OPERARIO DE MAQUINA </t>
  </si>
  <si>
    <t xml:space="preserve">JOHN JAIRO SANTANA OSORIO </t>
  </si>
  <si>
    <t xml:space="preserve">VEREDA EL GUAYABO </t>
  </si>
  <si>
    <t xml:space="preserve">INDEFINIDO </t>
  </si>
  <si>
    <t>JUAN PABLO BUSTAMANTE TAVERA</t>
  </si>
  <si>
    <t>DIAGONAL 38 #32-61</t>
  </si>
  <si>
    <t>FIJO</t>
  </si>
  <si>
    <t>OSCAR ALONSO VALENCIA RESTREPO</t>
  </si>
  <si>
    <t>EL RAIZAL</t>
  </si>
  <si>
    <t>SEBASTIAN GARCIA MARTINEZ</t>
  </si>
  <si>
    <t xml:space="preserve">VEREDA EL RAIZAL  </t>
  </si>
  <si>
    <t>DEISY CRISTINA LONDOÑO ESTRADA</t>
  </si>
  <si>
    <t>CRA 28 C # 34 DD SUR 41 APTO 502</t>
  </si>
  <si>
    <t>GILBERTO DE JESUS CUARTAS CUARTAS</t>
  </si>
  <si>
    <t>CALLE 14 # 17- 06</t>
  </si>
  <si>
    <t>JAIDER ZABALA ECHAVARRIA</t>
  </si>
  <si>
    <t>ESTEFANI RINCON BLANDON</t>
  </si>
  <si>
    <t>CRA 25 # 40 A SUR 40 INT 104</t>
  </si>
  <si>
    <t>SEBASTIAN CEBALLOS CHAVARRIA</t>
  </si>
  <si>
    <t>CALLE 20 # 23-58</t>
  </si>
  <si>
    <t>DANIEL FELIPE OSSA ALVAREZ</t>
  </si>
  <si>
    <t>AVE 37 DIAG 44-98 LAS VEGAS</t>
  </si>
  <si>
    <t>JHONIER ALEXANDER ALVAREZ MACHADO</t>
  </si>
  <si>
    <t>CALLE 55 I # 02-03 INT 204</t>
  </si>
  <si>
    <t>LUIS FELIPE OSORIO FERNANDEZ</t>
  </si>
  <si>
    <t>CLL 55F # 2-25</t>
  </si>
  <si>
    <t>MEDELLIN/CAICEDO</t>
  </si>
  <si>
    <t>Walter Gustavo Lopez Lopez</t>
  </si>
  <si>
    <t>KM 6 VIA SANTA ELENA</t>
  </si>
  <si>
    <t>Reinaldo Antonio Velez Velez</t>
  </si>
  <si>
    <t>CLLE 63 #132-47</t>
  </si>
  <si>
    <t>Jefferson Cardona Barrera</t>
  </si>
  <si>
    <t>LA CORRALA PARTE BAJA</t>
  </si>
  <si>
    <t>Douglas Anyanis Ramos Duncan</t>
  </si>
  <si>
    <t>CR 52  88 SUR 31</t>
  </si>
  <si>
    <t xml:space="preserve">Andres Felipe Escobar Gaviria </t>
  </si>
  <si>
    <t>CALLE 143 SUR # 50 - 176</t>
  </si>
  <si>
    <t>Valentina Cano Ospina</t>
  </si>
  <si>
    <t>BARRIO LA PLANTA</t>
  </si>
  <si>
    <t>Edwin Yudier Rodriguez Lopera</t>
  </si>
  <si>
    <t>AVENIDA 37 A # 45-78</t>
  </si>
  <si>
    <t xml:space="preserve">Marvin Arango David </t>
  </si>
  <si>
    <t>CALLE 96 # 74 - 31</t>
  </si>
  <si>
    <t>Javier Alexis Medina Chavarria</t>
  </si>
  <si>
    <t>Yesith Leandro Rendon Ramirez</t>
  </si>
  <si>
    <t>Andres Alejandro Ochoa Guerra</t>
  </si>
  <si>
    <t>Hernilson Andres Tapias Duque</t>
  </si>
  <si>
    <t>CALLE 12 #22-25</t>
  </si>
  <si>
    <t>Jhon Bairon Perez Polo</t>
  </si>
  <si>
    <t>Hernan Javier Madrid Portillo</t>
  </si>
  <si>
    <t>Mauricio Castro Gallego</t>
  </si>
  <si>
    <t>CR 51 CLL 128 SUR - 29</t>
  </si>
  <si>
    <t>Cristian Stiven Escobar Ramirez</t>
  </si>
  <si>
    <t>CR51 123 SUR 104 LAS MARGARITAS</t>
  </si>
  <si>
    <t xml:space="preserve">Luis Gustavo Caro Peña </t>
  </si>
  <si>
    <t>Juliana Andrea  Morales Colorado</t>
  </si>
  <si>
    <t>CALLE 130 SUR # 56 - 157</t>
  </si>
  <si>
    <t xml:space="preserve">Eugenio de Jesus Velez Cardenas </t>
  </si>
  <si>
    <t>HELICONIA</t>
  </si>
  <si>
    <t>EL CRUCERO</t>
  </si>
  <si>
    <t>David Alberto Gonzalez Martinez</t>
  </si>
  <si>
    <t>CRRA 73 52-65 APTO 1303</t>
  </si>
  <si>
    <t>Jose Omar Sanchez Montoya</t>
  </si>
  <si>
    <t>Yeison Arley Florez Hernandez</t>
  </si>
  <si>
    <t>CRA 49 # 125 SUR 129</t>
  </si>
  <si>
    <t>Marlon Stiven Hernandez Mazo</t>
  </si>
  <si>
    <t>BARRIO SAN RAFAEL</t>
  </si>
  <si>
    <t>Juanita Cardona Hincapie</t>
  </si>
  <si>
    <t xml:space="preserve">APRENDIZ </t>
  </si>
  <si>
    <t>CALLE 120 SUR # 48 B 18</t>
  </si>
  <si>
    <t>Oscar Oswaldo Chaverra Londoño</t>
  </si>
  <si>
    <t>CARRERA 16 # 21 - 43</t>
  </si>
  <si>
    <t>Pablo Enrique Posada Zabala</t>
  </si>
  <si>
    <t>Jorge alexis Quirama Vargas</t>
  </si>
  <si>
    <t xml:space="preserve">VERSALLES </t>
  </si>
  <si>
    <t>Jhon Alexander Jimenez Higuita</t>
  </si>
  <si>
    <t>CALLE 138 B SUR # 53-16</t>
  </si>
  <si>
    <t xml:space="preserve"> BACHILLER INCOMPLETO </t>
  </si>
  <si>
    <t>Maria Carmona Ramirez</t>
  </si>
  <si>
    <t>Ines Berrio Foronda</t>
  </si>
  <si>
    <t>CALLE 35 D # 107A63</t>
  </si>
  <si>
    <t xml:space="preserve">Hector Augusto Zapata Loaiza </t>
  </si>
  <si>
    <t>CALLE 123# 50 B -20</t>
  </si>
  <si>
    <t>Diogenes Sepulveda domico</t>
  </si>
  <si>
    <t>CALLE 78#56-B16</t>
  </si>
  <si>
    <t>BASICA PRIMARIA</t>
  </si>
  <si>
    <t>Ana Rojas Aguirre</t>
  </si>
  <si>
    <t>CALLE 14 # 23-12</t>
  </si>
  <si>
    <t>Jhon leandro mazo torres</t>
  </si>
  <si>
    <t>Martha giraldo agudelo</t>
  </si>
  <si>
    <t>CR  51 #22-25</t>
  </si>
  <si>
    <t xml:space="preserve">Andrea giraldo </t>
  </si>
  <si>
    <t xml:space="preserve">VEREDA LA CALLE </t>
  </si>
  <si>
    <t xml:space="preserve">Daniela fernanda zapata </t>
  </si>
  <si>
    <t xml:space="preserve">NUEVO AMANECER </t>
  </si>
  <si>
    <t>SANTA ROSA</t>
  </si>
  <si>
    <t>Adriana cardenas rojas</t>
  </si>
  <si>
    <t>COORDINADOR DE PROCESOS</t>
  </si>
  <si>
    <t>CALLE 19 # 15-55</t>
  </si>
  <si>
    <t>SAN LUIS YARUMAL</t>
  </si>
  <si>
    <t xml:space="preserve">Santiago diaz jaramillo </t>
  </si>
  <si>
    <t xml:space="preserve">SAN RAFAEL </t>
  </si>
  <si>
    <t xml:space="preserve">Luis fernando florez florez </t>
  </si>
  <si>
    <t>EL CAMINO LA SALADA</t>
  </si>
  <si>
    <t>Juan pablo tabares ruiz</t>
  </si>
  <si>
    <t xml:space="preserve">M </t>
  </si>
  <si>
    <t>cr 578 calle 128 sur 55</t>
  </si>
  <si>
    <t xml:space="preserve">LA PLANTA </t>
  </si>
  <si>
    <t xml:space="preserve">Edwin fernando moreno bedoya </t>
  </si>
  <si>
    <t>CR 50 CLL 114 SUR 164</t>
  </si>
  <si>
    <t>Maria camila berrio marquez</t>
  </si>
  <si>
    <t xml:space="preserve">VEREDA YARUMAL </t>
  </si>
  <si>
    <t>Jhony alexander rodriguez echeverry</t>
  </si>
  <si>
    <t>CLL 129 SUR 56 61</t>
  </si>
  <si>
    <t>Rodolfo andres luna caicedo</t>
  </si>
  <si>
    <t>SANTANA</t>
  </si>
  <si>
    <t>SANTABARBARA</t>
  </si>
  <si>
    <t xml:space="preserve">Angela Quintana grajales </t>
  </si>
  <si>
    <t xml:space="preserve">VEREDA VERSALLES </t>
  </si>
  <si>
    <t xml:space="preserve">SANTA BARBARA </t>
  </si>
  <si>
    <t xml:space="preserve">Mateo chica henriquez </t>
  </si>
  <si>
    <t>CRA 42 #$1B309</t>
  </si>
  <si>
    <t xml:space="preserve">SANTA ELENA </t>
  </si>
  <si>
    <t xml:space="preserve">Guillermo colorado saldarriaga </t>
  </si>
  <si>
    <t xml:space="preserve">PRODUCCION </t>
  </si>
  <si>
    <t xml:space="preserve">VEREDA LA MIEL </t>
  </si>
  <si>
    <t>Juan miguel posada cano</t>
  </si>
  <si>
    <t>cra 49B 144 SUR 18</t>
  </si>
  <si>
    <t>Jhonny alexander tangarife suaza</t>
  </si>
  <si>
    <t>CLL 140 SUR #52-53</t>
  </si>
  <si>
    <t>Dayana gomez perez</t>
  </si>
  <si>
    <t>SERVICIOS GENERALES</t>
  </si>
  <si>
    <t>VILLA PUDA</t>
  </si>
  <si>
    <t xml:space="preserve">Henry alexander zuluaga quintero </t>
  </si>
  <si>
    <t xml:space="preserve">COORDINADOR </t>
  </si>
  <si>
    <t xml:space="preserve">BARRIO NUEVO </t>
  </si>
  <si>
    <t xml:space="preserve">Clara correa cardona </t>
  </si>
  <si>
    <t>cr 49# 137 sur 22</t>
  </si>
  <si>
    <t>Alejandra velez quintero</t>
  </si>
  <si>
    <t>CLL38 SUR # 46-31</t>
  </si>
  <si>
    <t xml:space="preserve">NO </t>
  </si>
  <si>
    <t>Maria Velez</t>
  </si>
  <si>
    <t>Ignacia Mosquera</t>
  </si>
  <si>
    <t xml:space="preserve">CLL 139 # 45 C 98 </t>
  </si>
  <si>
    <t>Violeta Perez</t>
  </si>
  <si>
    <t xml:space="preserve">VEREDA LA CHUSCALA </t>
  </si>
  <si>
    <t>Angie Piedrahita</t>
  </si>
  <si>
    <t>CR 22 # 45-68</t>
  </si>
  <si>
    <t xml:space="preserve">BUENOS AIRES </t>
  </si>
  <si>
    <t>Wilson dario restrepo sanchez</t>
  </si>
  <si>
    <t>CALDAS.</t>
  </si>
  <si>
    <t>TEMPORAL</t>
  </si>
  <si>
    <t>Huber hernandez montoya</t>
  </si>
  <si>
    <t xml:space="preserve">Olga ramirez toro </t>
  </si>
  <si>
    <t>Patricia Gomez</t>
  </si>
  <si>
    <t xml:space="preserve">Ines gaviria sepulveda </t>
  </si>
  <si>
    <t>Sofia Antonia Sepulveda</t>
  </si>
  <si>
    <t>%Mujeres</t>
  </si>
  <si>
    <t>%Hombres</t>
  </si>
  <si>
    <t>Cantidad Activos</t>
  </si>
  <si>
    <t>Cantidad Inactivos</t>
  </si>
  <si>
    <t>Tarjeta Empleado</t>
  </si>
  <si>
    <t>Tarjeta Activo</t>
  </si>
  <si>
    <t>Tarjeta Inactivo</t>
  </si>
  <si>
    <t>Mujere</t>
  </si>
  <si>
    <t>%mujeres</t>
  </si>
  <si>
    <t>%hombre</t>
  </si>
  <si>
    <t>Si</t>
  </si>
  <si>
    <t>Cantidad mujeres</t>
  </si>
  <si>
    <t>Cantidad de Hombre</t>
  </si>
  <si>
    <t>Porcentaje de mujeres</t>
  </si>
  <si>
    <t>Porcentaje de Hombres</t>
  </si>
  <si>
    <t xml:space="preserve"> </t>
  </si>
  <si>
    <t>Año</t>
  </si>
  <si>
    <t xml:space="preserve"> Total General</t>
  </si>
  <si>
    <t>Total General</t>
  </si>
  <si>
    <t>Genero</t>
  </si>
  <si>
    <t>Grupo de Edad</t>
  </si>
  <si>
    <t>Tipo Contrato</t>
  </si>
  <si>
    <t>Rango Salarial</t>
  </si>
  <si>
    <t>Generacion</t>
  </si>
  <si>
    <t xml:space="preserve">VAR Yearmax= MAX('Calendar'[Año2])
VAR Resultado=CALCULATE([Cantidad Empleados];'Calendar'[Año2]&lt;=Yearmax)RETURNResultado
</t>
  </si>
  <si>
    <t>CALCULATE([Total Empleados];DatoOrigenRRHH[ESTADO]="ACTIVO")</t>
  </si>
  <si>
    <t>CALCULATE([Total Empleados];DatoOrigenRRHH[ESTADO]="INACTIVO")</t>
  </si>
  <si>
    <t>CALCULATE([Total Empleados];DatoOrigenRRHH[GENERO]="F")</t>
  </si>
  <si>
    <t>CALCULATE([Total Empleados];DatoOrigenRRHH[GENERO]="M")</t>
  </si>
  <si>
    <t>VAR total = [Total Empleados]
VAR cantidad = CALCULATE([Total Empleados];DatoOrigenRRHH[GENERO]="F")
VAR calculo = DIVIDE(cantidad;total)*100 RETURN IF( calculo=BLANK();0;calculo)</t>
  </si>
  <si>
    <t>VAR total = [Total Empleados]
VAR cantidad = CALCULATE([Total Empleados];DatoOrigenRRHH[GENERO]="M")
VAR calculo = DIVIDE(cantidad;total)*100 RETURN IF( calculo=BLANK();0;calculo)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</si>
</sst>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0\ %;\-0.00\ %;0.00\ %"/>
    <numFmt numFmtId="165" formatCode="0\ %;\-0\ %;0\ %"/>
    <numFmt numFmtId="166" formatCode="00%"/>
  </numFmts>
  <fonts count="4" x14ac:knownFonts="1">
    <font>
      <sz val="11"/>
      <color theme="1"/>
      <name val="Calibri"/>
      <family val="2"/>
      <scheme val="minor"/>
    </font>
    <font>
      <sz val="11"/>
      <color theme="1"/>
      <name val="Calibri"/>
      <family val="2"/>
      <scheme val="minor"/>
    </font>
    <font>
      <sz val="11"/>
      <color rgb="FFFF0000"/>
      <name val="Calibri"/>
      <family val="2"/>
      <scheme val="minor"/>
    </font>
    <font>
      <sz val="10"/>
      <color theme="1"/>
      <name val="Arial Unicode MS"/>
      <family val="2"/>
    </font>
  </fonts>
  <fills count="4">
    <fill>
      <patternFill patternType="none"/>
    </fill>
    <fill>
      <patternFill patternType="gray125"/>
    </fill>
    <fill>
      <patternFill patternType="solid">
        <fgColor rgb="FFF8F4F1"/>
        <bgColor indexed="64"/>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2">
    <xf numFmtId="0" fontId="0" fillId="0" borderId="0" xfId="0"/>
    <xf numFmtId="14" fontId="0" fillId="0" borderId="0" xfId="0" applyNumberFormat="1"/>
    <xf numFmtId="0" fontId="0" fillId="0" borderId="0" xfId="0" pivotButton="1"/>
    <xf numFmtId="0" fontId="0" fillId="0" borderId="0" xfId="0" applyAlignment="1">
      <alignment horizontal="left"/>
    </xf>
    <xf numFmtId="1" fontId="0" fillId="0" borderId="0" xfId="0" applyNumberFormat="1"/>
    <xf numFmtId="164" fontId="0" fillId="0" borderId="0" xfId="0" applyNumberFormat="1"/>
    <xf numFmtId="165" fontId="0" fillId="0" borderId="0" xfId="0" applyNumberFormat="1"/>
    <xf numFmtId="0" fontId="2" fillId="3" borderId="0" xfId="0" applyFont="1" applyFill="1"/>
    <xf numFmtId="0" fontId="2" fillId="3" borderId="1" xfId="0" applyFont="1" applyFill="1" applyBorder="1" applyAlignment="1">
      <alignment horizontal="center"/>
    </xf>
    <xf numFmtId="166" fontId="0" fillId="0" borderId="0" xfId="1" applyNumberFormat="1" applyFont="1"/>
    <xf numFmtId="0" fontId="3" fillId="0" borderId="0" xfId="0" applyFont="1" applyAlignment="1">
      <alignment vertical="center"/>
    </xf>
    <xf numFmtId="0" fontId="0" fillId="0" borderId="0" xfId="0" applyAlignment="1">
      <alignment horizontal="left" indent="1"/>
    </xf>
    <xf numFmtId="0" fontId="0" fillId="2" borderId="0" xfId="0" applyFill="1"/>
    <xf numFmtId="0" fontId="0" fillId="0" borderId="1" xfId="0" applyBorder="1"/>
    <xf numFmtId="0" fontId="2" fillId="3" borderId="1" xfId="0" applyFont="1" applyFill="1" applyBorder="1" applyAlignment="1">
      <alignment horizontal="center" vertical="center"/>
    </xf>
    <xf numFmtId="0" fontId="0" fillId="0" borderId="1" xfId="0" applyBorder="1" applyAlignment="1">
      <alignment horizontal="left" vertical="top" wrapText="1"/>
    </xf>
    <xf numFmtId="0" fontId="0" fillId="0" borderId="1" xfId="0" applyBorder="1" applyAlignment="1">
      <alignment horizontal="left" vertical="top"/>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1" xfId="0" applyBorder="1" applyAlignment="1">
      <alignment horizontal="left"/>
    </xf>
  </cellXfs>
  <cellStyles count="2">
    <cellStyle name="Normal" xfId="0" builtinId="0"/>
    <cellStyle name="Percent" xfId="1" builtinId="5"/>
  </cellStyles>
  <dxfs count="2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m/yyyy"/>
    </dxf>
    <dxf>
      <numFmt numFmtId="19" formatCode="d/m/yyyy"/>
    </dxf>
    <dxf>
      <numFmt numFmtId="0" formatCode="General"/>
    </dxf>
    <dxf>
      <numFmt numFmtId="0" formatCode="General"/>
    </dxf>
    <dxf>
      <numFmt numFmtId="0" formatCode="General"/>
    </dxf>
    <dxf>
      <numFmt numFmtId="19"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font>
        <b/>
        <color theme="1"/>
      </font>
      <border>
        <bottom style="thin">
          <color rgb="FFDF5E7E"/>
        </bottom>
        <vertical/>
        <horizontal/>
      </border>
    </dxf>
    <dxf>
      <font>
        <color theme="1"/>
      </font>
      <border>
        <left style="thin">
          <color rgb="FFDF5E7E"/>
        </left>
        <right style="thin">
          <color rgb="FFDF5E7E"/>
        </right>
        <top style="thin">
          <color rgb="FFDF5E7E"/>
        </top>
        <bottom style="thin">
          <color rgb="FFDF5E7E"/>
        </bottom>
        <vertical/>
        <horizontal/>
      </border>
    </dxf>
    <dxf>
      <fill>
        <patternFill>
          <fgColor rgb="FFDF5E7E"/>
        </patternFill>
      </fill>
      <border>
        <left style="thin">
          <color rgb="FFDF5E7E"/>
        </left>
        <right style="thin">
          <color rgb="FFDF5E7E"/>
        </right>
        <top style="thin">
          <color rgb="FFDF5E7E"/>
        </top>
        <bottom style="thin">
          <color rgb="FFDF5E7E"/>
        </bottom>
      </border>
    </dxf>
  </dxfs>
  <tableStyles count="3" defaultTableStyle="TableStyleMedium2" defaultPivotStyle="PivotStyleLight16">
    <tableStyle name="Invisible" pivot="0" table="0" count="0" xr9:uid="{B2FD5468-4776-441F-9FD8-95DCC65990E6}"/>
    <tableStyle name="Slicer Style 1" pivot="0" table="0" count="1" xr9:uid="{1F8128BE-D188-4D16-A2B1-DD3E3E18AB50}">
      <tableStyleElement type="wholeTable" dxfId="21"/>
    </tableStyle>
    <tableStyle name="SlicerStyleLight1 2" pivot="0" table="0" count="10" xr9:uid="{B468F605-38F0-44B8-8A53-0C943D262832}">
      <tableStyleElement type="wholeTable" dxfId="20"/>
      <tableStyleElement type="headerRow" dxfId="19"/>
    </tableStyle>
  </tableStyles>
  <colors>
    <mruColors>
      <color rgb="FFDF5E7E"/>
      <color rgb="FF9F2838"/>
      <color rgb="FFD74356"/>
      <color rgb="FFE47881"/>
      <color rgb="FFF2A7D8"/>
      <color rgb="FFF2BFCC"/>
      <color rgb="FFE9CAB2"/>
      <color rgb="FFE7859E"/>
      <color rgb="FFF8CCCC"/>
      <color rgb="FF373330"/>
    </mruColors>
  </colors>
  <extLst>
    <ext xmlns:x14="http://schemas.microsoft.com/office/spreadsheetml/2009/9/main" uri="{46F421CA-312F-682f-3DD2-61675219B42D}">
      <x14:dxfs count="8">
        <dxf>
          <font>
            <color rgb="FF000000"/>
          </font>
          <fill>
            <gradientFill degree="90">
              <stop position="0">
                <color rgb="FFF2BFCC"/>
              </stop>
              <stop position="1">
                <color rgb="FFE7859E"/>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E7859E"/>
              </stop>
              <stop position="1">
                <color rgb="FFF2BFCC"/>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rgb="FFF2A7D8"/>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E7859E"/>
              </stop>
              <stop position="1">
                <color rgb="FFF2BFCC"/>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2BFCC"/>
              <bgColor rgb="FFF2BFCC"/>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rgb="FFDF5E7E"/>
              <bgColor rgb="FFDF5E7E"/>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microsoft.com/office/2007/relationships/slicerCache" Target="slicerCaches/slicerCache2.xml"/><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styles" Target="styles.xml"/><Relationship Id="rId34" Type="http://schemas.openxmlformats.org/officeDocument/2006/relationships/customXml" Target="../customXml/item10.xml"/><Relationship Id="rId42" Type="http://schemas.openxmlformats.org/officeDocument/2006/relationships/customXml" Target="../customXml/item18.xml"/><Relationship Id="rId47" Type="http://schemas.openxmlformats.org/officeDocument/2006/relationships/customXml" Target="../customXml/item23.xml"/><Relationship Id="rId50" Type="http://schemas.openxmlformats.org/officeDocument/2006/relationships/customXml" Target="../customXml/item26.xml"/><Relationship Id="rId55" Type="http://schemas.openxmlformats.org/officeDocument/2006/relationships/customXml" Target="../customXml/item31.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microsoft.com/office/2007/relationships/slicerCache" Target="slicerCaches/slicerCache1.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 Id="rId46"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connections" Target="connections.xml"/><Relationship Id="rId29" Type="http://schemas.openxmlformats.org/officeDocument/2006/relationships/customXml" Target="../customXml/item5.xml"/><Relationship Id="rId41" Type="http://schemas.openxmlformats.org/officeDocument/2006/relationships/customXml" Target="../customXml/item17.xml"/><Relationship Id="rId54" Type="http://schemas.openxmlformats.org/officeDocument/2006/relationships/customXml" Target="../customXml/item30.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calcChain" Target="calcChain.xml"/><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45" Type="http://schemas.openxmlformats.org/officeDocument/2006/relationships/customXml" Target="../customXml/item21.xml"/><Relationship Id="rId53" Type="http://schemas.openxmlformats.org/officeDocument/2006/relationships/customXml" Target="../customXml/item29.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49" Type="http://schemas.openxmlformats.org/officeDocument/2006/relationships/customXml" Target="../customXml/item25.xml"/><Relationship Id="rId57" Type="http://schemas.openxmlformats.org/officeDocument/2006/relationships/customXml" Target="../customXml/item33.xml"/><Relationship Id="rId10" Type="http://schemas.openxmlformats.org/officeDocument/2006/relationships/pivotCacheDefinition" Target="pivotCache/pivotCacheDefinition6.xml"/><Relationship Id="rId19" Type="http://schemas.openxmlformats.org/officeDocument/2006/relationships/theme" Target="theme/theme1.xml"/><Relationship Id="rId31" Type="http://schemas.openxmlformats.org/officeDocument/2006/relationships/customXml" Target="../customXml/item7.xml"/><Relationship Id="rId44" Type="http://schemas.openxmlformats.org/officeDocument/2006/relationships/customXml" Target="../customXml/item20.xml"/><Relationship Id="rId52" Type="http://schemas.openxmlformats.org/officeDocument/2006/relationships/customXml" Target="../customXml/item28.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sharedStrings" Target="sharedStrings.xml"/><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43" Type="http://schemas.openxmlformats.org/officeDocument/2006/relationships/customXml" Target="../customXml/item19.xml"/><Relationship Id="rId48" Type="http://schemas.openxmlformats.org/officeDocument/2006/relationships/customXml" Target="../customXml/item24.xml"/><Relationship Id="rId56" Type="http://schemas.openxmlformats.org/officeDocument/2006/relationships/customXml" Target="../customXml/item32.xml"/><Relationship Id="rId8" Type="http://schemas.openxmlformats.org/officeDocument/2006/relationships/pivotCacheDefinition" Target="pivotCache/pivotCacheDefinition4.xml"/><Relationship Id="rId51" Type="http://schemas.openxmlformats.org/officeDocument/2006/relationships/customXml" Target="../customXml/item27.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RRHH.xlsm]TD_Proceso!PtTotalEmpPorAño</c:name>
    <c:fmtId val="6"/>
  </c:pivotSource>
  <c:chart>
    <c:title>
      <c:tx>
        <c:rich>
          <a:bodyPr rot="0" spcFirstLastPara="1" vertOverflow="ellipsis" vert="horz" wrap="square" anchor="ctr" anchorCtr="1"/>
          <a:lstStyle/>
          <a:p>
            <a:pPr>
              <a:defRPr sz="1400" b="0" i="0" u="none" strike="noStrike" kern="1200" spc="100" baseline="0">
                <a:solidFill>
                  <a:schemeClr val="bg1">
                    <a:lumMod val="50000"/>
                  </a:schemeClr>
                </a:solidFill>
                <a:effectLst/>
                <a:latin typeface="+mn-lt"/>
                <a:ea typeface="+mn-ea"/>
                <a:cs typeface="+mn-cs"/>
              </a:defRPr>
            </a:pPr>
            <a:r>
              <a:rPr lang="en-US" sz="1400" b="0">
                <a:solidFill>
                  <a:schemeClr val="bg1">
                    <a:lumMod val="50000"/>
                  </a:schemeClr>
                </a:solidFill>
                <a:effectLst/>
              </a:rPr>
              <a:t>Empleado por Año </a:t>
            </a:r>
          </a:p>
        </c:rich>
      </c:tx>
      <c:layout>
        <c:manualLayout>
          <c:xMode val="edge"/>
          <c:yMode val="edge"/>
          <c:x val="2.5972523499638477E-2"/>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100" baseline="0">
              <a:solidFill>
                <a:schemeClr val="bg1">
                  <a:lumMod val="50000"/>
                </a:schemeClr>
              </a:solidFill>
              <a:effectLst/>
              <a:latin typeface="+mn-lt"/>
              <a:ea typeface="+mn-ea"/>
              <a:cs typeface="+mn-cs"/>
            </a:defRPr>
          </a:pPr>
          <a:endParaRPr lang="es-DO"/>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DO"/>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rgbClr val="F2BFCC">
                  <a:alpha val="99000"/>
                </a:srgbClr>
              </a:gs>
              <a:gs pos="74000">
                <a:srgbClr val="DF5E7E"/>
              </a:gs>
              <a:gs pos="83000">
                <a:srgbClr val="DF5E7E"/>
              </a:gs>
              <a:gs pos="100000">
                <a:srgbClr val="DF5E7E"/>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95000"/>
                    </a:schemeClr>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rgbClr val="F2BFCC">
                  <a:alpha val="99000"/>
                </a:srgbClr>
              </a:gs>
              <a:gs pos="74000">
                <a:srgbClr val="DF5E7E"/>
              </a:gs>
              <a:gs pos="83000">
                <a:srgbClr val="DF5E7E"/>
              </a:gs>
              <a:gs pos="100000">
                <a:srgbClr val="DF5E7E"/>
              </a:gs>
            </a:gsLst>
            <a:lin ang="5400000" scaled="1"/>
          </a:gradFill>
          <a:ln>
            <a:noFill/>
          </a:ln>
          <a:effectLst/>
        </c:spPr>
        <c:dLbl>
          <c:idx val="0"/>
          <c:layout>
            <c:manualLayout>
              <c:x val="-2.8922631959508315E-3"/>
              <c:y val="-0.2309697710200018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bg1">
                        <a:lumMod val="95000"/>
                      </a:schemeClr>
                    </a:solidFill>
                    <a:latin typeface="+mn-lt"/>
                    <a:ea typeface="+mn-ea"/>
                    <a:cs typeface="+mn-cs"/>
                  </a:defRPr>
                </a:pPr>
                <a:fld id="{904AAC56-560D-44EA-B959-167B13A74CEC}" type="VALUE">
                  <a:rPr lang="en-US"/>
                  <a:pPr>
                    <a:defRPr sz="1000" b="1">
                      <a:solidFill>
                        <a:schemeClr val="bg1">
                          <a:lumMod val="95000"/>
                        </a:schemeClr>
                      </a:solidFill>
                    </a:defRPr>
                  </a:pPr>
                  <a:t>[VALUE]</a:t>
                </a:fld>
                <a:endParaRPr lang="es-DO"/>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95000"/>
                    </a:schemeClr>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barChart>
        <c:barDir val="col"/>
        <c:grouping val="stacked"/>
        <c:varyColors val="0"/>
        <c:ser>
          <c:idx val="0"/>
          <c:order val="0"/>
          <c:tx>
            <c:strRef>
              <c:f>TD_Proceso!$B$12</c:f>
              <c:strCache>
                <c:ptCount val="1"/>
                <c:pt idx="0">
                  <c:v>Total</c:v>
                </c:pt>
              </c:strCache>
            </c:strRef>
          </c:tx>
          <c:spPr>
            <a:gradFill rotWithShape="1">
              <a:gsLst>
                <a:gs pos="0">
                  <a:srgbClr val="F2BFCC">
                    <a:alpha val="99000"/>
                  </a:srgbClr>
                </a:gs>
                <a:gs pos="74000">
                  <a:srgbClr val="DF5E7E"/>
                </a:gs>
                <a:gs pos="83000">
                  <a:srgbClr val="DF5E7E"/>
                </a:gs>
                <a:gs pos="100000">
                  <a:srgbClr val="DF5E7E"/>
                </a:gs>
              </a:gsLst>
              <a:lin ang="5400000" scaled="1"/>
            </a:gradFill>
            <a:ln>
              <a:noFill/>
            </a:ln>
            <a:effectLst/>
          </c:spPr>
          <c:invertIfNegative val="1"/>
          <c:dPt>
            <c:idx val="12"/>
            <c:invertIfNegative val="1"/>
            <c:bubble3D val="0"/>
            <c:extLst>
              <c:ext xmlns:c16="http://schemas.microsoft.com/office/drawing/2014/chart" uri="{C3380CC4-5D6E-409C-BE32-E72D297353CC}">
                <c16:uniqueId val="{00000000-E2F9-40EA-A7C4-CF8EF516BFC2}"/>
              </c:ext>
            </c:extLst>
          </c:dPt>
          <c:dLbls>
            <c:dLbl>
              <c:idx val="12"/>
              <c:layout>
                <c:manualLayout>
                  <c:x val="-2.8922631959508315E-3"/>
                  <c:y val="-0.23096977102000182"/>
                </c:manualLayout>
              </c:layout>
              <c:tx>
                <c:rich>
                  <a:bodyPr/>
                  <a:lstStyle/>
                  <a:p>
                    <a:fld id="{904AAC56-560D-44EA-B959-167B13A74CEC}" type="VALUE">
                      <a:rPr lang="en-US"/>
                      <a:pPr/>
                      <a:t>[VALUE]</a:t>
                    </a:fld>
                    <a:endParaRPr lang="es-DO"/>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E2F9-40EA-A7C4-CF8EF516BFC2}"/>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95000"/>
                      </a:schemeClr>
                    </a:solidFill>
                    <a:latin typeface="+mn-lt"/>
                    <a:ea typeface="+mn-ea"/>
                    <a:cs typeface="+mn-cs"/>
                  </a:defRPr>
                </a:pPr>
                <a:endParaRPr lang="es-D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TD_Proceso!$A$13:$A$26</c:f>
              <c:strCache>
                <c:ptCount val="13"/>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strCache>
            </c:strRef>
          </c:cat>
          <c:val>
            <c:numRef>
              <c:f>TD_Proceso!$B$13:$B$26</c:f>
              <c:numCache>
                <c:formatCode>0</c:formatCode>
                <c:ptCount val="13"/>
                <c:pt idx="0">
                  <c:v>3</c:v>
                </c:pt>
                <c:pt idx="1">
                  <c:v>8</c:v>
                </c:pt>
                <c:pt idx="2">
                  <c:v>14</c:v>
                </c:pt>
                <c:pt idx="3">
                  <c:v>27</c:v>
                </c:pt>
                <c:pt idx="4">
                  <c:v>30</c:v>
                </c:pt>
                <c:pt idx="5">
                  <c:v>33</c:v>
                </c:pt>
                <c:pt idx="6">
                  <c:v>41</c:v>
                </c:pt>
                <c:pt idx="7">
                  <c:v>52</c:v>
                </c:pt>
                <c:pt idx="8">
                  <c:v>57</c:v>
                </c:pt>
                <c:pt idx="9">
                  <c:v>79</c:v>
                </c:pt>
                <c:pt idx="10">
                  <c:v>103</c:v>
                </c:pt>
                <c:pt idx="11">
                  <c:v>170</c:v>
                </c:pt>
                <c:pt idx="12">
                  <c:v>268</c:v>
                </c:pt>
              </c:numCache>
            </c:numRef>
          </c:val>
          <c:extLst>
            <c:ext xmlns:c16="http://schemas.microsoft.com/office/drawing/2014/chart" uri="{C3380CC4-5D6E-409C-BE32-E72D297353CC}">
              <c16:uniqueId val="{00000009-FAD3-49F6-95DC-C4902333B177}"/>
            </c:ext>
          </c:extLst>
        </c:ser>
        <c:dLbls>
          <c:showLegendKey val="0"/>
          <c:showVal val="1"/>
          <c:showCatName val="0"/>
          <c:showSerName val="0"/>
          <c:showPercent val="0"/>
          <c:showBubbleSize val="0"/>
        </c:dLbls>
        <c:gapWidth val="20"/>
        <c:overlap val="100"/>
        <c:axId val="841007392"/>
        <c:axId val="841007752"/>
      </c:barChart>
      <c:catAx>
        <c:axId val="841007392"/>
        <c:scaling>
          <c:orientation val="minMax"/>
        </c:scaling>
        <c:delete val="0"/>
        <c:axPos val="b"/>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1" i="0" u="none" strike="noStrike" kern="1200" baseline="0">
                <a:solidFill>
                  <a:srgbClr val="373330"/>
                </a:solidFill>
                <a:latin typeface="+mn-lt"/>
                <a:ea typeface="+mn-ea"/>
                <a:cs typeface="+mn-cs"/>
              </a:defRPr>
            </a:pPr>
            <a:endParaRPr lang="es-DO"/>
          </a:p>
        </c:txPr>
        <c:crossAx val="841007752"/>
        <c:crosses val="autoZero"/>
        <c:auto val="1"/>
        <c:lblAlgn val="ctr"/>
        <c:lblOffset val="100"/>
        <c:noMultiLvlLbl val="0"/>
      </c:catAx>
      <c:valAx>
        <c:axId val="841007752"/>
        <c:scaling>
          <c:orientation val="minMax"/>
        </c:scaling>
        <c:delete val="1"/>
        <c:axPos val="l"/>
        <c:numFmt formatCode="0" sourceLinked="1"/>
        <c:majorTickMark val="none"/>
        <c:minorTickMark val="none"/>
        <c:tickLblPos val="nextTo"/>
        <c:crossAx val="8410073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a:solidFill>
        <a:srgbClr val="DF5E7E"/>
      </a:solidFill>
    </a:ln>
    <a:effectLst/>
  </c:spPr>
  <c:txPr>
    <a:bodyPr/>
    <a:lstStyle/>
    <a:p>
      <a:pPr>
        <a:defRPr/>
      </a:pPr>
      <a:endParaRPr lang="es-D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RRHH.xlsm]TD_Proceso!PTTotalEmpPorGenero</c:name>
    <c:fmtId val="10"/>
  </c:pivotSource>
  <c:chart>
    <c:title>
      <c:tx>
        <c:rich>
          <a:bodyPr rot="0" spcFirstLastPara="1" vertOverflow="ellipsis" vert="horz" wrap="square" anchor="ctr" anchorCtr="1"/>
          <a:lstStyle/>
          <a:p>
            <a:pPr>
              <a:defRPr sz="1600" b="1" i="0" u="none" strike="noStrike" kern="1200" cap="all" spc="120" normalizeH="0" baseline="0">
                <a:solidFill>
                  <a:schemeClr val="bg1">
                    <a:lumMod val="50000"/>
                  </a:schemeClr>
                </a:solidFill>
                <a:latin typeface="+mn-lt"/>
                <a:ea typeface="+mn-ea"/>
                <a:cs typeface="+mn-cs"/>
              </a:defRPr>
            </a:pPr>
            <a:r>
              <a:rPr lang="es-DO" sz="1050" b="0">
                <a:solidFill>
                  <a:schemeClr val="bg1">
                    <a:lumMod val="50000"/>
                  </a:schemeClr>
                </a:solidFill>
              </a:rPr>
              <a:t>empleado</a:t>
            </a:r>
            <a:r>
              <a:rPr lang="es-DO" sz="1050" b="0" baseline="0">
                <a:solidFill>
                  <a:schemeClr val="bg1">
                    <a:lumMod val="50000"/>
                  </a:schemeClr>
                </a:solidFill>
              </a:rPr>
              <a:t> por genero</a:t>
            </a:r>
            <a:endParaRPr lang="es-DO" sz="1050" b="0">
              <a:solidFill>
                <a:schemeClr val="bg1">
                  <a:lumMod val="50000"/>
                </a:schemeClr>
              </a:solidFill>
            </a:endParaRPr>
          </a:p>
        </c:rich>
      </c:tx>
      <c:layout>
        <c:manualLayout>
          <c:xMode val="edge"/>
          <c:yMode val="edge"/>
          <c:x val="2.9479166666666667E-2"/>
          <c:y val="5.2173913043478258E-2"/>
        </c:manualLayout>
      </c:layout>
      <c:overlay val="1"/>
      <c:spPr>
        <a:noFill/>
        <a:ln>
          <a:noFill/>
        </a:ln>
        <a:effectLst/>
      </c:spPr>
      <c:txPr>
        <a:bodyPr rot="0" spcFirstLastPara="1" vertOverflow="ellipsis" vert="horz" wrap="square" anchor="ctr" anchorCtr="1"/>
        <a:lstStyle/>
        <a:p>
          <a:pPr>
            <a:defRPr sz="1600" b="1" i="0" u="none" strike="noStrike" kern="1200" cap="all" spc="120" normalizeH="0" baseline="0">
              <a:solidFill>
                <a:schemeClr val="bg1">
                  <a:lumMod val="50000"/>
                </a:schemeClr>
              </a:solidFill>
              <a:latin typeface="+mn-lt"/>
              <a:ea typeface="+mn-ea"/>
              <a:cs typeface="+mn-cs"/>
            </a:defRPr>
          </a:pPr>
          <a:endParaRPr lang="es-DO"/>
        </a:p>
      </c:txPr>
    </c:title>
    <c:autoTitleDeleted val="0"/>
    <c:pivotFmts>
      <c:pivotFmt>
        <c:idx val="0"/>
        <c:dLbl>
          <c:idx val="0"/>
          <c:dLblPos val="inBase"/>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inBase"/>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F5E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F283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TD_Proceso!$E$12:$E$13</c:f>
              <c:strCache>
                <c:ptCount val="1"/>
                <c:pt idx="0">
                  <c:v>F</c:v>
                </c:pt>
              </c:strCache>
            </c:strRef>
          </c:tx>
          <c:spPr>
            <a:solidFill>
              <a:srgbClr val="DF5E7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D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TD_Proceso!$D$14:$D$17</c:f>
              <c:strCache>
                <c:ptCount val="3"/>
                <c:pt idx="0">
                  <c:v>BOGOTA</c:v>
                </c:pt>
                <c:pt idx="1">
                  <c:v>CALI</c:v>
                </c:pt>
                <c:pt idx="2">
                  <c:v>MEDELLIN</c:v>
                </c:pt>
              </c:strCache>
            </c:strRef>
          </c:cat>
          <c:val>
            <c:numRef>
              <c:f>TD_Proceso!$E$14:$E$17</c:f>
              <c:numCache>
                <c:formatCode>0</c:formatCode>
                <c:ptCount val="3"/>
                <c:pt idx="0">
                  <c:v>18</c:v>
                </c:pt>
                <c:pt idx="1">
                  <c:v>8</c:v>
                </c:pt>
                <c:pt idx="2">
                  <c:v>43</c:v>
                </c:pt>
              </c:numCache>
            </c:numRef>
          </c:val>
          <c:extLst>
            <c:ext xmlns:c16="http://schemas.microsoft.com/office/drawing/2014/chart" uri="{C3380CC4-5D6E-409C-BE32-E72D297353CC}">
              <c16:uniqueId val="{0000001A-76CB-4CB1-B947-E8BC16A34E87}"/>
            </c:ext>
          </c:extLst>
        </c:ser>
        <c:ser>
          <c:idx val="1"/>
          <c:order val="1"/>
          <c:tx>
            <c:strRef>
              <c:f>TD_Proceso!$F$12:$F$13</c:f>
              <c:strCache>
                <c:ptCount val="1"/>
                <c:pt idx="0">
                  <c:v>M</c:v>
                </c:pt>
              </c:strCache>
            </c:strRef>
          </c:tx>
          <c:spPr>
            <a:solidFill>
              <a:srgbClr val="9F283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D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TD_Proceso!$D$14:$D$17</c:f>
              <c:strCache>
                <c:ptCount val="3"/>
                <c:pt idx="0">
                  <c:v>BOGOTA</c:v>
                </c:pt>
                <c:pt idx="1">
                  <c:v>CALI</c:v>
                </c:pt>
                <c:pt idx="2">
                  <c:v>MEDELLIN</c:v>
                </c:pt>
              </c:strCache>
            </c:strRef>
          </c:cat>
          <c:val>
            <c:numRef>
              <c:f>TD_Proceso!$F$14:$F$17</c:f>
              <c:numCache>
                <c:formatCode>0</c:formatCode>
                <c:ptCount val="3"/>
                <c:pt idx="0">
                  <c:v>50</c:v>
                </c:pt>
                <c:pt idx="1">
                  <c:v>21</c:v>
                </c:pt>
                <c:pt idx="2">
                  <c:v>128</c:v>
                </c:pt>
              </c:numCache>
            </c:numRef>
          </c:val>
          <c:extLst>
            <c:ext xmlns:c16="http://schemas.microsoft.com/office/drawing/2014/chart" uri="{C3380CC4-5D6E-409C-BE32-E72D297353CC}">
              <c16:uniqueId val="{00000002-6D3B-4D91-B371-8601F3107BEB}"/>
            </c:ext>
          </c:extLst>
        </c:ser>
        <c:dLbls>
          <c:dLblPos val="ctr"/>
          <c:showLegendKey val="0"/>
          <c:showVal val="1"/>
          <c:showCatName val="0"/>
          <c:showSerName val="0"/>
          <c:showPercent val="0"/>
          <c:showBubbleSize val="0"/>
        </c:dLbls>
        <c:gapWidth val="79"/>
        <c:overlap val="100"/>
        <c:axId val="859808456"/>
        <c:axId val="859816736"/>
      </c:barChart>
      <c:catAx>
        <c:axId val="859808456"/>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cap="all" spc="120" normalizeH="0" baseline="0">
                <a:solidFill>
                  <a:schemeClr val="tx1">
                    <a:lumMod val="65000"/>
                    <a:lumOff val="35000"/>
                  </a:schemeClr>
                </a:solidFill>
                <a:latin typeface="+mn-lt"/>
                <a:ea typeface="+mn-ea"/>
                <a:cs typeface="+mn-cs"/>
              </a:defRPr>
            </a:pPr>
            <a:endParaRPr lang="es-DO"/>
          </a:p>
        </c:txPr>
        <c:crossAx val="859816736"/>
        <c:crosses val="autoZero"/>
        <c:auto val="1"/>
        <c:lblAlgn val="ctr"/>
        <c:lblOffset val="100"/>
        <c:noMultiLvlLbl val="0"/>
      </c:catAx>
      <c:valAx>
        <c:axId val="859816736"/>
        <c:scaling>
          <c:orientation val="minMax"/>
        </c:scaling>
        <c:delete val="1"/>
        <c:axPos val="b"/>
        <c:numFmt formatCode="0" sourceLinked="1"/>
        <c:majorTickMark val="none"/>
        <c:minorTickMark val="none"/>
        <c:tickLblPos val="nextTo"/>
        <c:crossAx val="859808456"/>
        <c:crosses val="autoZero"/>
        <c:crossBetween val="between"/>
      </c:valAx>
      <c:spPr>
        <a:noFill/>
        <a:ln>
          <a:noFill/>
        </a:ln>
        <a:effectLst/>
      </c:spPr>
    </c:plotArea>
    <c:legend>
      <c:legendPos val="t"/>
      <c:layout>
        <c:manualLayout>
          <c:xMode val="edge"/>
          <c:yMode val="edge"/>
          <c:x val="0.7658234908136482"/>
          <c:y val="4.0579710144927533E-2"/>
          <c:w val="0.19751968503937009"/>
          <c:h val="9.782677165354332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D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3175" cap="flat" cmpd="sng" algn="ctr">
      <a:solidFill>
        <a:srgbClr val="DF5E7E"/>
      </a:solidFill>
      <a:round/>
    </a:ln>
    <a:effectLst/>
  </c:spPr>
  <c:txPr>
    <a:bodyPr/>
    <a:lstStyle/>
    <a:p>
      <a:pPr>
        <a:defRPr/>
      </a:pPr>
      <a:endParaRPr lang="es-D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RRHH.xlsm]TD_Proceso!PTEmpleadoPorEdadPorGeneacion</c:name>
    <c:fmtId val="23"/>
  </c:pivotSource>
  <c:chart>
    <c:title>
      <c:tx>
        <c:rich>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r>
              <a:rPr lang="es-DO">
                <a:solidFill>
                  <a:schemeClr val="bg1">
                    <a:lumMod val="50000"/>
                  </a:schemeClr>
                </a:solidFill>
              </a:rPr>
              <a:t>Rango</a:t>
            </a:r>
            <a:r>
              <a:rPr lang="es-DO" baseline="0">
                <a:solidFill>
                  <a:schemeClr val="bg1">
                    <a:lumMod val="50000"/>
                  </a:schemeClr>
                </a:solidFill>
              </a:rPr>
              <a:t> por Edad y Area</a:t>
            </a:r>
            <a:endParaRPr lang="es-DO">
              <a:solidFill>
                <a:schemeClr val="bg1">
                  <a:lumMod val="50000"/>
                </a:schemeClr>
              </a:solidFill>
            </a:endParaRPr>
          </a:p>
        </c:rich>
      </c:tx>
      <c:layout>
        <c:manualLayout>
          <c:xMode val="edge"/>
          <c:yMode val="edge"/>
          <c:x val="5.953512074865952E-2"/>
          <c:y val="1.32013201320132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s-DO"/>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9F283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DF5E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E7859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487938400365604"/>
          <c:y val="0.1632123212321232"/>
          <c:w val="0.69059628442438126"/>
          <c:h val="0.68772225254021468"/>
        </c:manualLayout>
      </c:layout>
      <c:barChart>
        <c:barDir val="bar"/>
        <c:grouping val="percentStacked"/>
        <c:varyColors val="0"/>
        <c:ser>
          <c:idx val="0"/>
          <c:order val="0"/>
          <c:tx>
            <c:strRef>
              <c:f>TD_Proceso!$E$27:$E$28</c:f>
              <c:strCache>
                <c:ptCount val="1"/>
                <c:pt idx="0">
                  <c:v>Baby boomers</c:v>
                </c:pt>
              </c:strCache>
            </c:strRef>
          </c:tx>
          <c:spPr>
            <a:solidFill>
              <a:srgbClr val="9F283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s-D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TD_Proceso!$D$29:$D$43</c:f>
              <c:multiLvlStrCache>
                <c:ptCount val="11"/>
                <c:lvl>
                  <c:pt idx="0">
                    <c:v>ADMINISTRACION</c:v>
                  </c:pt>
                  <c:pt idx="1">
                    <c:v>PRODUCCION</c:v>
                  </c:pt>
                  <c:pt idx="2">
                    <c:v>PROYECTOS</c:v>
                  </c:pt>
                  <c:pt idx="3">
                    <c:v>VENTAS</c:v>
                  </c:pt>
                  <c:pt idx="4">
                    <c:v>ADMINISTRACION</c:v>
                  </c:pt>
                  <c:pt idx="5">
                    <c:v>PRODUCCION</c:v>
                  </c:pt>
                  <c:pt idx="6">
                    <c:v>PROYECTOS</c:v>
                  </c:pt>
                  <c:pt idx="7">
                    <c:v>VENTAS</c:v>
                  </c:pt>
                  <c:pt idx="8">
                    <c:v>ADMINISTRACION</c:v>
                  </c:pt>
                  <c:pt idx="9">
                    <c:v>PRODUCCION</c:v>
                  </c:pt>
                  <c:pt idx="10">
                    <c:v>VENTAS</c:v>
                  </c:pt>
                </c:lvl>
                <c:lvl>
                  <c:pt idx="0">
                    <c:v>Entre 30 y 50</c:v>
                  </c:pt>
                  <c:pt idx="4">
                    <c:v>Mayor de 50</c:v>
                  </c:pt>
                  <c:pt idx="8">
                    <c:v>Menor de 30</c:v>
                  </c:pt>
                </c:lvl>
              </c:multiLvlStrCache>
            </c:multiLvlStrRef>
          </c:cat>
          <c:val>
            <c:numRef>
              <c:f>TD_Proceso!$E$29:$E$43</c:f>
              <c:numCache>
                <c:formatCode>0</c:formatCode>
                <c:ptCount val="11"/>
                <c:pt idx="4">
                  <c:v>1</c:v>
                </c:pt>
                <c:pt idx="5">
                  <c:v>15</c:v>
                </c:pt>
                <c:pt idx="7">
                  <c:v>1</c:v>
                </c:pt>
              </c:numCache>
            </c:numRef>
          </c:val>
          <c:extLst>
            <c:ext xmlns:c16="http://schemas.microsoft.com/office/drawing/2014/chart" uri="{C3380CC4-5D6E-409C-BE32-E72D297353CC}">
              <c16:uniqueId val="{00000021-612D-40EF-9D40-44847B1C9353}"/>
            </c:ext>
          </c:extLst>
        </c:ser>
        <c:ser>
          <c:idx val="1"/>
          <c:order val="1"/>
          <c:tx>
            <c:strRef>
              <c:f>TD_Proceso!$F$27:$F$28</c:f>
              <c:strCache>
                <c:ptCount val="1"/>
                <c:pt idx="0">
                  <c:v>Generación X</c:v>
                </c:pt>
              </c:strCache>
            </c:strRef>
          </c:tx>
          <c:spPr>
            <a:solidFill>
              <a:srgbClr val="DF5E7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s-D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TD_Proceso!$D$29:$D$43</c:f>
              <c:multiLvlStrCache>
                <c:ptCount val="11"/>
                <c:lvl>
                  <c:pt idx="0">
                    <c:v>ADMINISTRACION</c:v>
                  </c:pt>
                  <c:pt idx="1">
                    <c:v>PRODUCCION</c:v>
                  </c:pt>
                  <c:pt idx="2">
                    <c:v>PROYECTOS</c:v>
                  </c:pt>
                  <c:pt idx="3">
                    <c:v>VENTAS</c:v>
                  </c:pt>
                  <c:pt idx="4">
                    <c:v>ADMINISTRACION</c:v>
                  </c:pt>
                  <c:pt idx="5">
                    <c:v>PRODUCCION</c:v>
                  </c:pt>
                  <c:pt idx="6">
                    <c:v>PROYECTOS</c:v>
                  </c:pt>
                  <c:pt idx="7">
                    <c:v>VENTAS</c:v>
                  </c:pt>
                  <c:pt idx="8">
                    <c:v>ADMINISTRACION</c:v>
                  </c:pt>
                  <c:pt idx="9">
                    <c:v>PRODUCCION</c:v>
                  </c:pt>
                  <c:pt idx="10">
                    <c:v>VENTAS</c:v>
                  </c:pt>
                </c:lvl>
                <c:lvl>
                  <c:pt idx="0">
                    <c:v>Entre 30 y 50</c:v>
                  </c:pt>
                  <c:pt idx="4">
                    <c:v>Mayor de 50</c:v>
                  </c:pt>
                  <c:pt idx="8">
                    <c:v>Menor de 30</c:v>
                  </c:pt>
                </c:lvl>
              </c:multiLvlStrCache>
            </c:multiLvlStrRef>
          </c:cat>
          <c:val>
            <c:numRef>
              <c:f>TD_Proceso!$F$29:$F$43</c:f>
              <c:numCache>
                <c:formatCode>0</c:formatCode>
                <c:ptCount val="11"/>
                <c:pt idx="0">
                  <c:v>5</c:v>
                </c:pt>
                <c:pt idx="1">
                  <c:v>50</c:v>
                </c:pt>
                <c:pt idx="2">
                  <c:v>1</c:v>
                </c:pt>
                <c:pt idx="3">
                  <c:v>2</c:v>
                </c:pt>
                <c:pt idx="5">
                  <c:v>7</c:v>
                </c:pt>
                <c:pt idx="6">
                  <c:v>1</c:v>
                </c:pt>
                <c:pt idx="7">
                  <c:v>1</c:v>
                </c:pt>
              </c:numCache>
            </c:numRef>
          </c:val>
          <c:extLst>
            <c:ext xmlns:c16="http://schemas.microsoft.com/office/drawing/2014/chart" uri="{C3380CC4-5D6E-409C-BE32-E72D297353CC}">
              <c16:uniqueId val="{00000022-612D-40EF-9D40-44847B1C9353}"/>
            </c:ext>
          </c:extLst>
        </c:ser>
        <c:ser>
          <c:idx val="2"/>
          <c:order val="2"/>
          <c:tx>
            <c:strRef>
              <c:f>TD_Proceso!$G$27:$G$28</c:f>
              <c:strCache>
                <c:ptCount val="1"/>
                <c:pt idx="0">
                  <c:v>Generación Z</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s-D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TD_Proceso!$D$29:$D$43</c:f>
              <c:multiLvlStrCache>
                <c:ptCount val="11"/>
                <c:lvl>
                  <c:pt idx="0">
                    <c:v>ADMINISTRACION</c:v>
                  </c:pt>
                  <c:pt idx="1">
                    <c:v>PRODUCCION</c:v>
                  </c:pt>
                  <c:pt idx="2">
                    <c:v>PROYECTOS</c:v>
                  </c:pt>
                  <c:pt idx="3">
                    <c:v>VENTAS</c:v>
                  </c:pt>
                  <c:pt idx="4">
                    <c:v>ADMINISTRACION</c:v>
                  </c:pt>
                  <c:pt idx="5">
                    <c:v>PRODUCCION</c:v>
                  </c:pt>
                  <c:pt idx="6">
                    <c:v>PROYECTOS</c:v>
                  </c:pt>
                  <c:pt idx="7">
                    <c:v>VENTAS</c:v>
                  </c:pt>
                  <c:pt idx="8">
                    <c:v>ADMINISTRACION</c:v>
                  </c:pt>
                  <c:pt idx="9">
                    <c:v>PRODUCCION</c:v>
                  </c:pt>
                  <c:pt idx="10">
                    <c:v>VENTAS</c:v>
                  </c:pt>
                </c:lvl>
                <c:lvl>
                  <c:pt idx="0">
                    <c:v>Entre 30 y 50</c:v>
                  </c:pt>
                  <c:pt idx="4">
                    <c:v>Mayor de 50</c:v>
                  </c:pt>
                  <c:pt idx="8">
                    <c:v>Menor de 30</c:v>
                  </c:pt>
                </c:lvl>
              </c:multiLvlStrCache>
            </c:multiLvlStrRef>
          </c:cat>
          <c:val>
            <c:numRef>
              <c:f>TD_Proceso!$G$29:$G$43</c:f>
              <c:numCache>
                <c:formatCode>0</c:formatCode>
                <c:ptCount val="11"/>
                <c:pt idx="1">
                  <c:v>1</c:v>
                </c:pt>
                <c:pt idx="5">
                  <c:v>1</c:v>
                </c:pt>
                <c:pt idx="8">
                  <c:v>13</c:v>
                </c:pt>
                <c:pt idx="9">
                  <c:v>76</c:v>
                </c:pt>
                <c:pt idx="10">
                  <c:v>4</c:v>
                </c:pt>
              </c:numCache>
            </c:numRef>
          </c:val>
          <c:extLst>
            <c:ext xmlns:c16="http://schemas.microsoft.com/office/drawing/2014/chart" uri="{C3380CC4-5D6E-409C-BE32-E72D297353CC}">
              <c16:uniqueId val="{00000004-1B2E-40B6-A37E-31AAB7A53145}"/>
            </c:ext>
          </c:extLst>
        </c:ser>
        <c:ser>
          <c:idx val="3"/>
          <c:order val="3"/>
          <c:tx>
            <c:strRef>
              <c:f>TD_Proceso!$H$27:$H$28</c:f>
              <c:strCache>
                <c:ptCount val="1"/>
                <c:pt idx="0">
                  <c:v>Los millennials</c:v>
                </c:pt>
              </c:strCache>
            </c:strRef>
          </c:tx>
          <c:spPr>
            <a:solidFill>
              <a:srgbClr val="E7859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s-D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TD_Proceso!$D$29:$D$43</c:f>
              <c:multiLvlStrCache>
                <c:ptCount val="11"/>
                <c:lvl>
                  <c:pt idx="0">
                    <c:v>ADMINISTRACION</c:v>
                  </c:pt>
                  <c:pt idx="1">
                    <c:v>PRODUCCION</c:v>
                  </c:pt>
                  <c:pt idx="2">
                    <c:v>PROYECTOS</c:v>
                  </c:pt>
                  <c:pt idx="3">
                    <c:v>VENTAS</c:v>
                  </c:pt>
                  <c:pt idx="4">
                    <c:v>ADMINISTRACION</c:v>
                  </c:pt>
                  <c:pt idx="5">
                    <c:v>PRODUCCION</c:v>
                  </c:pt>
                  <c:pt idx="6">
                    <c:v>PROYECTOS</c:v>
                  </c:pt>
                  <c:pt idx="7">
                    <c:v>VENTAS</c:v>
                  </c:pt>
                  <c:pt idx="8">
                    <c:v>ADMINISTRACION</c:v>
                  </c:pt>
                  <c:pt idx="9">
                    <c:v>PRODUCCION</c:v>
                  </c:pt>
                  <c:pt idx="10">
                    <c:v>VENTAS</c:v>
                  </c:pt>
                </c:lvl>
                <c:lvl>
                  <c:pt idx="0">
                    <c:v>Entre 30 y 50</c:v>
                  </c:pt>
                  <c:pt idx="4">
                    <c:v>Mayor de 50</c:v>
                  </c:pt>
                  <c:pt idx="8">
                    <c:v>Menor de 30</c:v>
                  </c:pt>
                </c:lvl>
              </c:multiLvlStrCache>
            </c:multiLvlStrRef>
          </c:cat>
          <c:val>
            <c:numRef>
              <c:f>TD_Proceso!$H$29:$H$43</c:f>
              <c:numCache>
                <c:formatCode>0</c:formatCode>
                <c:ptCount val="11"/>
                <c:pt idx="0">
                  <c:v>12</c:v>
                </c:pt>
                <c:pt idx="1">
                  <c:v>45</c:v>
                </c:pt>
                <c:pt idx="2">
                  <c:v>2</c:v>
                </c:pt>
                <c:pt idx="3">
                  <c:v>4</c:v>
                </c:pt>
                <c:pt idx="8">
                  <c:v>6</c:v>
                </c:pt>
                <c:pt idx="9">
                  <c:v>20</c:v>
                </c:pt>
              </c:numCache>
            </c:numRef>
          </c:val>
          <c:extLst>
            <c:ext xmlns:c16="http://schemas.microsoft.com/office/drawing/2014/chart" uri="{C3380CC4-5D6E-409C-BE32-E72D297353CC}">
              <c16:uniqueId val="{00000007-1B2E-40B6-A37E-31AAB7A53145}"/>
            </c:ext>
          </c:extLst>
        </c:ser>
        <c:dLbls>
          <c:dLblPos val="ctr"/>
          <c:showLegendKey val="0"/>
          <c:showVal val="1"/>
          <c:showCatName val="0"/>
          <c:showSerName val="0"/>
          <c:showPercent val="0"/>
          <c:showBubbleSize val="0"/>
        </c:dLbls>
        <c:gapWidth val="70"/>
        <c:overlap val="100"/>
        <c:axId val="748653176"/>
        <c:axId val="748648496"/>
      </c:barChart>
      <c:catAx>
        <c:axId val="748653176"/>
        <c:scaling>
          <c:orientation val="minMax"/>
        </c:scaling>
        <c:delete val="0"/>
        <c:axPos val="l"/>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es-DO"/>
          </a:p>
        </c:txPr>
        <c:crossAx val="748648496"/>
        <c:crosses val="autoZero"/>
        <c:auto val="1"/>
        <c:lblAlgn val="ctr"/>
        <c:lblOffset val="50"/>
        <c:tickMarkSkip val="1"/>
        <c:noMultiLvlLbl val="0"/>
      </c:catAx>
      <c:valAx>
        <c:axId val="748648496"/>
        <c:scaling>
          <c:orientation val="minMax"/>
        </c:scaling>
        <c:delete val="1"/>
        <c:axPos val="b"/>
        <c:numFmt formatCode="0%" sourceLinked="1"/>
        <c:majorTickMark val="none"/>
        <c:minorTickMark val="none"/>
        <c:tickLblPos val="nextTo"/>
        <c:crossAx val="748653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s-D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DF5E7E"/>
      </a:solidFill>
      <a:round/>
    </a:ln>
    <a:effectLst/>
  </c:spPr>
  <c:txPr>
    <a:bodyPr/>
    <a:lstStyle/>
    <a:p>
      <a:pPr>
        <a:defRPr/>
      </a:pPr>
      <a:endParaRPr lang="es-D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RRHH.xlsm]TD_Proceso!PTEmpleadoPorContratoPorSalario</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DO"/>
              <a:t>Rango</a:t>
            </a:r>
            <a:r>
              <a:rPr lang="es-DO" baseline="0"/>
              <a:t> de Salario por Area </a:t>
            </a:r>
            <a:endParaRPr lang="es-DO"/>
          </a:p>
        </c:rich>
      </c:tx>
      <c:layout>
        <c:manualLayout>
          <c:xMode val="edge"/>
          <c:yMode val="edge"/>
          <c:x val="7.5091043307086616E-2"/>
          <c:y val="8.77192982456140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DO"/>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DO"/>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DO"/>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DO"/>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DO"/>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DO"/>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DO"/>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DO"/>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DO"/>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DO"/>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DO"/>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DO"/>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DO"/>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9F283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DF5E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D7435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s-DO"/>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5523129921259842"/>
          <c:y val="0.21600980798452826"/>
          <c:w val="0.52393536745406821"/>
          <c:h val="0.73574457798038406"/>
        </c:manualLayout>
      </c:layout>
      <c:barChart>
        <c:barDir val="bar"/>
        <c:grouping val="percentStacked"/>
        <c:varyColors val="0"/>
        <c:ser>
          <c:idx val="0"/>
          <c:order val="0"/>
          <c:tx>
            <c:strRef>
              <c:f>TD_Proceso!$E$20:$E$21</c:f>
              <c:strCache>
                <c:ptCount val="1"/>
                <c:pt idx="0">
                  <c:v>ADMINISTRACION</c:v>
                </c:pt>
              </c:strCache>
            </c:strRef>
          </c:tx>
          <c:spPr>
            <a:solidFill>
              <a:srgbClr val="9F283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s-D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TD_Proceso!$D$22:$D$25</c:f>
              <c:strCache>
                <c:ptCount val="3"/>
                <c:pt idx="0">
                  <c:v>Entre $ 1.000.000 y $ 3.000.000</c:v>
                </c:pt>
                <c:pt idx="1">
                  <c:v>Entre $ 3.000.000 y $ 5.000.000</c:v>
                </c:pt>
                <c:pt idx="2">
                  <c:v>Mayor a $ 5.000.000</c:v>
                </c:pt>
              </c:strCache>
            </c:strRef>
          </c:cat>
          <c:val>
            <c:numRef>
              <c:f>TD_Proceso!$E$22:$E$25</c:f>
              <c:numCache>
                <c:formatCode>0</c:formatCode>
                <c:ptCount val="3"/>
                <c:pt idx="0">
                  <c:v>33</c:v>
                </c:pt>
                <c:pt idx="1">
                  <c:v>3</c:v>
                </c:pt>
                <c:pt idx="2">
                  <c:v>1</c:v>
                </c:pt>
              </c:numCache>
            </c:numRef>
          </c:val>
          <c:extLst>
            <c:ext xmlns:c16="http://schemas.microsoft.com/office/drawing/2014/chart" uri="{C3380CC4-5D6E-409C-BE32-E72D297353CC}">
              <c16:uniqueId val="{00000021-3CBF-47E3-A967-0108BD51538F}"/>
            </c:ext>
          </c:extLst>
        </c:ser>
        <c:ser>
          <c:idx val="1"/>
          <c:order val="1"/>
          <c:tx>
            <c:strRef>
              <c:f>TD_Proceso!$F$20:$F$21</c:f>
              <c:strCache>
                <c:ptCount val="1"/>
                <c:pt idx="0">
                  <c:v>PRODUCCION</c:v>
                </c:pt>
              </c:strCache>
            </c:strRef>
          </c:tx>
          <c:spPr>
            <a:solidFill>
              <a:srgbClr val="DF5E7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s-D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TD_Proceso!$D$22:$D$25</c:f>
              <c:strCache>
                <c:ptCount val="3"/>
                <c:pt idx="0">
                  <c:v>Entre $ 1.000.000 y $ 3.000.000</c:v>
                </c:pt>
                <c:pt idx="1">
                  <c:v>Entre $ 3.000.000 y $ 5.000.000</c:v>
                </c:pt>
                <c:pt idx="2">
                  <c:v>Mayor a $ 5.000.000</c:v>
                </c:pt>
              </c:strCache>
            </c:strRef>
          </c:cat>
          <c:val>
            <c:numRef>
              <c:f>TD_Proceso!$F$22:$F$25</c:f>
              <c:numCache>
                <c:formatCode>0</c:formatCode>
                <c:ptCount val="3"/>
                <c:pt idx="0">
                  <c:v>213</c:v>
                </c:pt>
                <c:pt idx="1">
                  <c:v>2</c:v>
                </c:pt>
              </c:numCache>
            </c:numRef>
          </c:val>
          <c:extLst>
            <c:ext xmlns:c16="http://schemas.microsoft.com/office/drawing/2014/chart" uri="{C3380CC4-5D6E-409C-BE32-E72D297353CC}">
              <c16:uniqueId val="{00000001-E7C1-49CF-BACF-878C3694C794}"/>
            </c:ext>
          </c:extLst>
        </c:ser>
        <c:ser>
          <c:idx val="2"/>
          <c:order val="2"/>
          <c:tx>
            <c:strRef>
              <c:f>TD_Proceso!$G$20:$G$21</c:f>
              <c:strCache>
                <c:ptCount val="1"/>
                <c:pt idx="0">
                  <c:v>PROYECTOS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D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TD_Proceso!$D$22:$D$25</c:f>
              <c:strCache>
                <c:ptCount val="3"/>
                <c:pt idx="0">
                  <c:v>Entre $ 1.000.000 y $ 3.000.000</c:v>
                </c:pt>
                <c:pt idx="1">
                  <c:v>Entre $ 3.000.000 y $ 5.000.000</c:v>
                </c:pt>
                <c:pt idx="2">
                  <c:v>Mayor a $ 5.000.000</c:v>
                </c:pt>
              </c:strCache>
            </c:strRef>
          </c:cat>
          <c:val>
            <c:numRef>
              <c:f>TD_Proceso!$G$22:$G$25</c:f>
              <c:numCache>
                <c:formatCode>0</c:formatCode>
                <c:ptCount val="3"/>
                <c:pt idx="0">
                  <c:v>4</c:v>
                </c:pt>
              </c:numCache>
            </c:numRef>
          </c:val>
          <c:extLst>
            <c:ext xmlns:c16="http://schemas.microsoft.com/office/drawing/2014/chart" uri="{C3380CC4-5D6E-409C-BE32-E72D297353CC}">
              <c16:uniqueId val="{00000009-E7C1-49CF-BACF-878C3694C794}"/>
            </c:ext>
          </c:extLst>
        </c:ser>
        <c:ser>
          <c:idx val="3"/>
          <c:order val="3"/>
          <c:tx>
            <c:strRef>
              <c:f>TD_Proceso!$H$20:$H$21</c:f>
              <c:strCache>
                <c:ptCount val="1"/>
                <c:pt idx="0">
                  <c:v>VENTAS</c:v>
                </c:pt>
              </c:strCache>
            </c:strRef>
          </c:tx>
          <c:spPr>
            <a:solidFill>
              <a:srgbClr val="D7435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s-D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TD_Proceso!$D$22:$D$25</c:f>
              <c:strCache>
                <c:ptCount val="3"/>
                <c:pt idx="0">
                  <c:v>Entre $ 1.000.000 y $ 3.000.000</c:v>
                </c:pt>
                <c:pt idx="1">
                  <c:v>Entre $ 3.000.000 y $ 5.000.000</c:v>
                </c:pt>
                <c:pt idx="2">
                  <c:v>Mayor a $ 5.000.000</c:v>
                </c:pt>
              </c:strCache>
            </c:strRef>
          </c:cat>
          <c:val>
            <c:numRef>
              <c:f>TD_Proceso!$H$22:$H$25</c:f>
              <c:numCache>
                <c:formatCode>0</c:formatCode>
                <c:ptCount val="3"/>
                <c:pt idx="0">
                  <c:v>11</c:v>
                </c:pt>
                <c:pt idx="1">
                  <c:v>1</c:v>
                </c:pt>
              </c:numCache>
            </c:numRef>
          </c:val>
          <c:extLst>
            <c:ext xmlns:c16="http://schemas.microsoft.com/office/drawing/2014/chart" uri="{C3380CC4-5D6E-409C-BE32-E72D297353CC}">
              <c16:uniqueId val="{0000000A-E7C1-49CF-BACF-878C3694C794}"/>
            </c:ext>
          </c:extLst>
        </c:ser>
        <c:dLbls>
          <c:dLblPos val="ctr"/>
          <c:showLegendKey val="0"/>
          <c:showVal val="1"/>
          <c:showCatName val="0"/>
          <c:showSerName val="0"/>
          <c:showPercent val="0"/>
          <c:showBubbleSize val="0"/>
        </c:dLbls>
        <c:gapWidth val="182"/>
        <c:overlap val="100"/>
        <c:axId val="1018148192"/>
        <c:axId val="1018147832"/>
      </c:barChart>
      <c:catAx>
        <c:axId val="10181481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DO"/>
          </a:p>
        </c:txPr>
        <c:crossAx val="1018147832"/>
        <c:crosses val="autoZero"/>
        <c:auto val="1"/>
        <c:lblAlgn val="ctr"/>
        <c:lblOffset val="100"/>
        <c:noMultiLvlLbl val="0"/>
      </c:catAx>
      <c:valAx>
        <c:axId val="1018147832"/>
        <c:scaling>
          <c:orientation val="minMax"/>
        </c:scaling>
        <c:delete val="1"/>
        <c:axPos val="b"/>
        <c:numFmt formatCode="0%" sourceLinked="1"/>
        <c:majorTickMark val="none"/>
        <c:minorTickMark val="none"/>
        <c:tickLblPos val="nextTo"/>
        <c:crossAx val="1018148192"/>
        <c:crosses val="autoZero"/>
        <c:crossBetween val="between"/>
      </c:valAx>
      <c:spPr>
        <a:noFill/>
        <a:ln>
          <a:noFill/>
        </a:ln>
        <a:effectLst/>
      </c:spPr>
    </c:plotArea>
    <c:legend>
      <c:legendPos val="t"/>
      <c:layout>
        <c:manualLayout>
          <c:xMode val="edge"/>
          <c:yMode val="edge"/>
          <c:x val="3.056389435695538E-2"/>
          <c:y val="0.11442982456140351"/>
          <c:w val="0.92845554461942259"/>
          <c:h val="0.119518579914352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D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DF5E7E"/>
      </a:solidFill>
      <a:round/>
    </a:ln>
    <a:effectLst/>
  </c:spPr>
  <c:txPr>
    <a:bodyPr/>
    <a:lstStyle/>
    <a:p>
      <a:pPr>
        <a:defRPr/>
      </a:pPr>
      <a:endParaRPr lang="es-D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3.xml"/><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image" Target="../media/image10.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9.png"/><Relationship Id="rId5" Type="http://schemas.openxmlformats.org/officeDocument/2006/relationships/image" Target="../media/image5.png"/><Relationship Id="rId10" Type="http://schemas.openxmlformats.org/officeDocument/2006/relationships/image" Target="../media/image8.svg"/><Relationship Id="rId4" Type="http://schemas.openxmlformats.org/officeDocument/2006/relationships/image" Target="../media/image4.svg"/><Relationship Id="rId9" Type="http://schemas.openxmlformats.org/officeDocument/2006/relationships/image" Target="../media/image7.png"/><Relationship Id="rId1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0</xdr:col>
      <xdr:colOff>257176</xdr:colOff>
      <xdr:row>4</xdr:row>
      <xdr:rowOff>44712</xdr:rowOff>
    </xdr:from>
    <xdr:to>
      <xdr:col>3</xdr:col>
      <xdr:colOff>174346</xdr:colOff>
      <xdr:row>7</xdr:row>
      <xdr:rowOff>144212</xdr:rowOff>
    </xdr:to>
    <xdr:pic>
      <xdr:nvPicPr>
        <xdr:cNvPr id="6" name="Graphic 5">
          <a:extLst>
            <a:ext uri="{FF2B5EF4-FFF2-40B4-BE49-F238E27FC236}">
              <a16:creationId xmlns:a16="http://schemas.microsoft.com/office/drawing/2014/main" id="{5FFE44A2-CD45-5ABF-71AF-7EAF77F04B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7176" y="806712"/>
          <a:ext cx="1745970" cy="671000"/>
        </a:xfrm>
        <a:prstGeom prst="rect">
          <a:avLst/>
        </a:prstGeom>
      </xdr:spPr>
    </xdr:pic>
    <xdr:clientData fLocksWithSheet="0"/>
  </xdr:twoCellAnchor>
  <xdr:twoCellAnchor editAs="absolute">
    <xdr:from>
      <xdr:col>1</xdr:col>
      <xdr:colOff>457200</xdr:colOff>
      <xdr:row>4</xdr:row>
      <xdr:rowOff>152400</xdr:rowOff>
    </xdr:from>
    <xdr:to>
      <xdr:col>3</xdr:col>
      <xdr:colOff>115076</xdr:colOff>
      <xdr:row>6</xdr:row>
      <xdr:rowOff>99695</xdr:rowOff>
    </xdr:to>
    <xdr:sp macro="" textlink="TD_Proceso!A7">
      <xdr:nvSpPr>
        <xdr:cNvPr id="7" name="txtTotalEmpledo">
          <a:extLst>
            <a:ext uri="{FF2B5EF4-FFF2-40B4-BE49-F238E27FC236}">
              <a16:creationId xmlns:a16="http://schemas.microsoft.com/office/drawing/2014/main" id="{466F8BDB-5520-4C65-F2D6-86205B5C8BF5}"/>
            </a:ext>
          </a:extLst>
        </xdr:cNvPr>
        <xdr:cNvSpPr txBox="1"/>
      </xdr:nvSpPr>
      <xdr:spPr>
        <a:xfrm>
          <a:off x="1066800" y="914400"/>
          <a:ext cx="877076"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208282F0-AAEF-4779-9497-28B6B6F50ABE}" type="TxLink">
            <a:rPr lang="en-US" sz="1600" b="1" i="0" u="none" strike="noStrike">
              <a:solidFill>
                <a:srgbClr val="373330"/>
              </a:solidFill>
              <a:latin typeface="Arial" panose="020B0604020202020204" pitchFamily="34" charset="0"/>
              <a:cs typeface="Arial" panose="020B0604020202020204" pitchFamily="34" charset="0"/>
            </a:rPr>
            <a:pPr algn="ctr"/>
            <a:t>268</a:t>
          </a:fld>
          <a:endParaRPr lang="es-DO" sz="1600" b="1">
            <a:solidFill>
              <a:srgbClr val="373330"/>
            </a:solidFill>
            <a:latin typeface="Arial" panose="020B0604020202020204" pitchFamily="34" charset="0"/>
            <a:cs typeface="Arial" panose="020B0604020202020204" pitchFamily="34" charset="0"/>
          </a:endParaRPr>
        </a:p>
      </xdr:txBody>
    </xdr:sp>
    <xdr:clientData fLocksWithSheet="0"/>
  </xdr:twoCellAnchor>
  <xdr:twoCellAnchor editAs="absolute">
    <xdr:from>
      <xdr:col>0</xdr:col>
      <xdr:colOff>276226</xdr:colOff>
      <xdr:row>8</xdr:row>
      <xdr:rowOff>38100</xdr:rowOff>
    </xdr:from>
    <xdr:to>
      <xdr:col>3</xdr:col>
      <xdr:colOff>175264</xdr:colOff>
      <xdr:row>11</xdr:row>
      <xdr:rowOff>130631</xdr:rowOff>
    </xdr:to>
    <xdr:pic>
      <xdr:nvPicPr>
        <xdr:cNvPr id="9" name="Graphic 8">
          <a:extLst>
            <a:ext uri="{FF2B5EF4-FFF2-40B4-BE49-F238E27FC236}">
              <a16:creationId xmlns:a16="http://schemas.microsoft.com/office/drawing/2014/main" id="{41FFE5D4-8263-7A42-FEA4-255BD173137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76226" y="1562100"/>
          <a:ext cx="1727838" cy="664031"/>
        </a:xfrm>
        <a:prstGeom prst="rect">
          <a:avLst/>
        </a:prstGeom>
      </xdr:spPr>
    </xdr:pic>
    <xdr:clientData fLocksWithSheet="0"/>
  </xdr:twoCellAnchor>
  <xdr:twoCellAnchor editAs="absolute">
    <xdr:from>
      <xdr:col>1</xdr:col>
      <xdr:colOff>438150</xdr:colOff>
      <xdr:row>8</xdr:row>
      <xdr:rowOff>142875</xdr:rowOff>
    </xdr:from>
    <xdr:to>
      <xdr:col>3</xdr:col>
      <xdr:colOff>104797</xdr:colOff>
      <xdr:row>10</xdr:row>
      <xdr:rowOff>90170</xdr:rowOff>
    </xdr:to>
    <xdr:sp macro="" textlink="TD_Proceso!B7">
      <xdr:nvSpPr>
        <xdr:cNvPr id="10" name="TextBox 9">
          <a:extLst>
            <a:ext uri="{FF2B5EF4-FFF2-40B4-BE49-F238E27FC236}">
              <a16:creationId xmlns:a16="http://schemas.microsoft.com/office/drawing/2014/main" id="{8A3DD051-6C9B-D04F-DDD1-DFAB652EF9A4}"/>
            </a:ext>
          </a:extLst>
        </xdr:cNvPr>
        <xdr:cNvSpPr txBox="1"/>
      </xdr:nvSpPr>
      <xdr:spPr>
        <a:xfrm>
          <a:off x="1047750" y="1666875"/>
          <a:ext cx="885847"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F2F7C4A4-3327-4F6D-AA0C-97A4FA37DF23}" type="TxLink">
            <a:rPr lang="en-US" sz="1600" b="1" i="0" u="none" strike="noStrike">
              <a:solidFill>
                <a:srgbClr val="373330"/>
              </a:solidFill>
              <a:latin typeface="Arial" panose="020B0604020202020204" pitchFamily="34" charset="0"/>
              <a:ea typeface="+mn-ea"/>
              <a:cs typeface="Arial" panose="020B0604020202020204" pitchFamily="34" charset="0"/>
            </a:rPr>
            <a:pPr marL="0" indent="0" algn="ctr"/>
            <a:t>203</a:t>
          </a:fld>
          <a:endParaRPr lang="es-DO" sz="1600" b="1" i="0" u="none" strike="noStrike">
            <a:solidFill>
              <a:srgbClr val="373330"/>
            </a:solidFill>
            <a:latin typeface="Arial" panose="020B0604020202020204" pitchFamily="34" charset="0"/>
            <a:ea typeface="+mn-ea"/>
            <a:cs typeface="Arial" panose="020B0604020202020204" pitchFamily="34" charset="0"/>
          </a:endParaRPr>
        </a:p>
      </xdr:txBody>
    </xdr:sp>
    <xdr:clientData fLocksWithSheet="0"/>
  </xdr:twoCellAnchor>
  <xdr:twoCellAnchor editAs="absolute">
    <xdr:from>
      <xdr:col>0</xdr:col>
      <xdr:colOff>247650</xdr:colOff>
      <xdr:row>12</xdr:row>
      <xdr:rowOff>28576</xdr:rowOff>
    </xdr:from>
    <xdr:to>
      <xdr:col>3</xdr:col>
      <xdr:colOff>180975</xdr:colOff>
      <xdr:row>15</xdr:row>
      <xdr:rowOff>141195</xdr:rowOff>
    </xdr:to>
    <xdr:pic>
      <xdr:nvPicPr>
        <xdr:cNvPr id="12" name="Graphic 11">
          <a:extLst>
            <a:ext uri="{FF2B5EF4-FFF2-40B4-BE49-F238E27FC236}">
              <a16:creationId xmlns:a16="http://schemas.microsoft.com/office/drawing/2014/main" id="{7B74CA3C-C10F-7F82-4023-E39B69D6B7B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47650" y="2314576"/>
          <a:ext cx="1762125" cy="684119"/>
        </a:xfrm>
        <a:prstGeom prst="rect">
          <a:avLst/>
        </a:prstGeom>
      </xdr:spPr>
    </xdr:pic>
    <xdr:clientData fLocksWithSheet="0"/>
  </xdr:twoCellAnchor>
  <xdr:twoCellAnchor editAs="absolute">
    <xdr:from>
      <xdr:col>1</xdr:col>
      <xdr:colOff>409576</xdr:colOff>
      <xdr:row>12</xdr:row>
      <xdr:rowOff>114300</xdr:rowOff>
    </xdr:from>
    <xdr:to>
      <xdr:col>3</xdr:col>
      <xdr:colOff>111306</xdr:colOff>
      <xdr:row>14</xdr:row>
      <xdr:rowOff>61595</xdr:rowOff>
    </xdr:to>
    <xdr:sp macro="" textlink="TD_Proceso!C7">
      <xdr:nvSpPr>
        <xdr:cNvPr id="13" name="TextBox 12">
          <a:extLst>
            <a:ext uri="{FF2B5EF4-FFF2-40B4-BE49-F238E27FC236}">
              <a16:creationId xmlns:a16="http://schemas.microsoft.com/office/drawing/2014/main" id="{C86AEB47-32E4-4D16-5B90-AE928641593F}"/>
            </a:ext>
          </a:extLst>
        </xdr:cNvPr>
        <xdr:cNvSpPr txBox="1"/>
      </xdr:nvSpPr>
      <xdr:spPr>
        <a:xfrm>
          <a:off x="1019176" y="2400300"/>
          <a:ext cx="92093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03EA6FE9-6C2F-480D-99CD-B40638C6167D}" type="TxLink">
            <a:rPr lang="en-US" sz="1600" b="1" i="0" u="none" strike="noStrike">
              <a:solidFill>
                <a:srgbClr val="373330"/>
              </a:solidFill>
              <a:latin typeface="Arial" panose="020B0604020202020204" pitchFamily="34" charset="0"/>
              <a:ea typeface="+mn-ea"/>
              <a:cs typeface="Arial" panose="020B0604020202020204" pitchFamily="34" charset="0"/>
            </a:rPr>
            <a:pPr marL="0" indent="0" algn="ctr"/>
            <a:t>65</a:t>
          </a:fld>
          <a:endParaRPr lang="es-DO" sz="1600" b="1" i="0" u="none" strike="noStrike">
            <a:solidFill>
              <a:srgbClr val="373330"/>
            </a:solidFill>
            <a:latin typeface="Arial" panose="020B0604020202020204" pitchFamily="34" charset="0"/>
            <a:ea typeface="+mn-ea"/>
            <a:cs typeface="Arial" panose="020B0604020202020204" pitchFamily="34" charset="0"/>
          </a:endParaRPr>
        </a:p>
      </xdr:txBody>
    </xdr:sp>
    <xdr:clientData fLocksWithSheet="0"/>
  </xdr:twoCellAnchor>
  <xdr:twoCellAnchor editAs="absolute">
    <xdr:from>
      <xdr:col>0</xdr:col>
      <xdr:colOff>485776</xdr:colOff>
      <xdr:row>26</xdr:row>
      <xdr:rowOff>57150</xdr:rowOff>
    </xdr:from>
    <xdr:to>
      <xdr:col>1</xdr:col>
      <xdr:colOff>495300</xdr:colOff>
      <xdr:row>28</xdr:row>
      <xdr:rowOff>4445</xdr:rowOff>
    </xdr:to>
    <xdr:sp macro="" textlink="TD_Proceso!F7">
      <xdr:nvSpPr>
        <xdr:cNvPr id="17" name="TboxMujer">
          <a:extLst>
            <a:ext uri="{FF2B5EF4-FFF2-40B4-BE49-F238E27FC236}">
              <a16:creationId xmlns:a16="http://schemas.microsoft.com/office/drawing/2014/main" id="{7F5C9425-A654-3A33-1CDC-8322A7B2DCF1}"/>
            </a:ext>
          </a:extLst>
        </xdr:cNvPr>
        <xdr:cNvSpPr txBox="1"/>
      </xdr:nvSpPr>
      <xdr:spPr>
        <a:xfrm>
          <a:off x="485776" y="5010150"/>
          <a:ext cx="619124"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0885A718-BE1C-494B-8004-0490BC56F14A}" type="TxLink">
            <a:rPr lang="en-US" sz="1600" b="1" i="0" u="none" strike="noStrike">
              <a:solidFill>
                <a:srgbClr val="373330"/>
              </a:solidFill>
              <a:latin typeface="Arial" panose="020B0604020202020204" pitchFamily="34" charset="0"/>
              <a:ea typeface="+mn-ea"/>
              <a:cs typeface="Arial" panose="020B0604020202020204" pitchFamily="34" charset="0"/>
            </a:rPr>
            <a:pPr marL="0" indent="0" algn="ctr"/>
            <a:t>26%</a:t>
          </a:fld>
          <a:endParaRPr lang="es-DO" sz="1600" b="1" i="0" u="none" strike="noStrike">
            <a:solidFill>
              <a:srgbClr val="373330"/>
            </a:solidFill>
            <a:latin typeface="Arial" panose="020B0604020202020204" pitchFamily="34" charset="0"/>
            <a:ea typeface="+mn-ea"/>
            <a:cs typeface="Arial" panose="020B0604020202020204" pitchFamily="34" charset="0"/>
          </a:endParaRPr>
        </a:p>
      </xdr:txBody>
    </xdr:sp>
    <xdr:clientData fLocksWithSheet="0"/>
  </xdr:twoCellAnchor>
  <xdr:twoCellAnchor editAs="absolute">
    <xdr:from>
      <xdr:col>2</xdr:col>
      <xdr:colOff>76201</xdr:colOff>
      <xdr:row>26</xdr:row>
      <xdr:rowOff>57150</xdr:rowOff>
    </xdr:from>
    <xdr:to>
      <xdr:col>3</xdr:col>
      <xdr:colOff>95250</xdr:colOff>
      <xdr:row>28</xdr:row>
      <xdr:rowOff>4445</xdr:rowOff>
    </xdr:to>
    <xdr:sp macro="" textlink="TD_Proceso!G7">
      <xdr:nvSpPr>
        <xdr:cNvPr id="18" name="TboxHombre">
          <a:extLst>
            <a:ext uri="{FF2B5EF4-FFF2-40B4-BE49-F238E27FC236}">
              <a16:creationId xmlns:a16="http://schemas.microsoft.com/office/drawing/2014/main" id="{35ADEB14-F87B-DF14-F638-876D3C388E7D}"/>
            </a:ext>
          </a:extLst>
        </xdr:cNvPr>
        <xdr:cNvSpPr txBox="1"/>
      </xdr:nvSpPr>
      <xdr:spPr>
        <a:xfrm>
          <a:off x="1295401" y="5010150"/>
          <a:ext cx="628649"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E2C4E8FA-9812-4CE1-A11B-2E3B5284E442}" type="TxLink">
            <a:rPr lang="en-US" sz="1600" b="1" i="0" u="none" strike="noStrike">
              <a:solidFill>
                <a:srgbClr val="373330"/>
              </a:solidFill>
              <a:latin typeface="Arial" panose="020B0604020202020204" pitchFamily="34" charset="0"/>
              <a:ea typeface="+mn-ea"/>
              <a:cs typeface="Arial" panose="020B0604020202020204" pitchFamily="34" charset="0"/>
            </a:rPr>
            <a:pPr marL="0" indent="0" algn="ctr"/>
            <a:t>74%</a:t>
          </a:fld>
          <a:endParaRPr lang="es-DO" sz="1600" b="1" i="0" u="none" strike="noStrike">
            <a:solidFill>
              <a:srgbClr val="373330"/>
            </a:solidFill>
            <a:latin typeface="Arial" panose="020B0604020202020204" pitchFamily="34" charset="0"/>
            <a:ea typeface="+mn-ea"/>
            <a:cs typeface="Arial" panose="020B0604020202020204" pitchFamily="34" charset="0"/>
          </a:endParaRPr>
        </a:p>
      </xdr:txBody>
    </xdr:sp>
    <xdr:clientData fLocksWithSheet="0"/>
  </xdr:twoCellAnchor>
  <xdr:twoCellAnchor editAs="absolute">
    <xdr:from>
      <xdr:col>0</xdr:col>
      <xdr:colOff>361950</xdr:colOff>
      <xdr:row>27</xdr:row>
      <xdr:rowOff>114300</xdr:rowOff>
    </xdr:from>
    <xdr:to>
      <xdr:col>1</xdr:col>
      <xdr:colOff>523875</xdr:colOff>
      <xdr:row>29</xdr:row>
      <xdr:rowOff>13505</xdr:rowOff>
    </xdr:to>
    <xdr:sp macro="" textlink="TD_Proceso!E7">
      <xdr:nvSpPr>
        <xdr:cNvPr id="19" name="TextBox 18">
          <a:extLst>
            <a:ext uri="{FF2B5EF4-FFF2-40B4-BE49-F238E27FC236}">
              <a16:creationId xmlns:a16="http://schemas.microsoft.com/office/drawing/2014/main" id="{C6A62411-42E2-75FB-01A3-DD0509B1FC1D}"/>
            </a:ext>
          </a:extLst>
        </xdr:cNvPr>
        <xdr:cNvSpPr txBox="1"/>
      </xdr:nvSpPr>
      <xdr:spPr>
        <a:xfrm>
          <a:off x="361950" y="5257800"/>
          <a:ext cx="7715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79ECD066-16DB-498B-885E-DFAA429C93A9}" type="TxLink">
            <a:rPr lang="en-US" sz="1200" b="1" i="0" u="none" strike="noStrike">
              <a:solidFill>
                <a:schemeClr val="bg2">
                  <a:lumMod val="25000"/>
                </a:schemeClr>
              </a:solidFill>
              <a:latin typeface="Calibri"/>
              <a:ea typeface="+mn-ea"/>
              <a:cs typeface="Calibri"/>
            </a:rPr>
            <a:pPr marL="0" indent="0" algn="ctr"/>
            <a:t>69</a:t>
          </a:fld>
          <a:endParaRPr lang="es-DO" sz="1200" b="1" i="0" u="none" strike="noStrike">
            <a:solidFill>
              <a:schemeClr val="bg2">
                <a:lumMod val="25000"/>
              </a:schemeClr>
            </a:solidFill>
            <a:latin typeface="Arial" panose="020B0604020202020204" pitchFamily="34" charset="0"/>
            <a:ea typeface="+mn-ea"/>
            <a:cs typeface="Arial" panose="020B0604020202020204" pitchFamily="34" charset="0"/>
          </a:endParaRPr>
        </a:p>
      </xdr:txBody>
    </xdr:sp>
    <xdr:clientData fLocksWithSheet="0"/>
  </xdr:twoCellAnchor>
  <xdr:twoCellAnchor editAs="absolute">
    <xdr:from>
      <xdr:col>1</xdr:col>
      <xdr:colOff>571501</xdr:colOff>
      <xdr:row>27</xdr:row>
      <xdr:rowOff>104775</xdr:rowOff>
    </xdr:from>
    <xdr:to>
      <xdr:col>3</xdr:col>
      <xdr:colOff>190501</xdr:colOff>
      <xdr:row>29</xdr:row>
      <xdr:rowOff>3980</xdr:rowOff>
    </xdr:to>
    <xdr:sp macro="" textlink="TD_Proceso!D7">
      <xdr:nvSpPr>
        <xdr:cNvPr id="20" name="TextBox 19">
          <a:extLst>
            <a:ext uri="{FF2B5EF4-FFF2-40B4-BE49-F238E27FC236}">
              <a16:creationId xmlns:a16="http://schemas.microsoft.com/office/drawing/2014/main" id="{CC9893C5-92C8-2002-195C-8E17B0D5886D}"/>
            </a:ext>
          </a:extLst>
        </xdr:cNvPr>
        <xdr:cNvSpPr txBox="1"/>
      </xdr:nvSpPr>
      <xdr:spPr>
        <a:xfrm>
          <a:off x="1181101" y="5248275"/>
          <a:ext cx="83820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F589FA96-2683-4367-A535-7E89C728A753}" type="TxLink">
            <a:rPr lang="en-US" sz="1200" b="1" i="0" u="none" strike="noStrike">
              <a:solidFill>
                <a:schemeClr val="bg2">
                  <a:lumMod val="25000"/>
                </a:schemeClr>
              </a:solidFill>
              <a:latin typeface="Calibri"/>
              <a:ea typeface="+mn-ea"/>
              <a:cs typeface="Calibri"/>
            </a:rPr>
            <a:pPr marL="0" indent="0" algn="ctr"/>
            <a:t>199</a:t>
          </a:fld>
          <a:endParaRPr lang="es-DO" sz="1200" b="1" i="0" u="none" strike="noStrike">
            <a:solidFill>
              <a:schemeClr val="bg2">
                <a:lumMod val="25000"/>
              </a:schemeClr>
            </a:solidFill>
            <a:latin typeface="Calibri"/>
            <a:ea typeface="+mn-ea"/>
            <a:cs typeface="Calibri"/>
          </a:endParaRPr>
        </a:p>
      </xdr:txBody>
    </xdr:sp>
    <xdr:clientData fLocksWithSheet="0"/>
  </xdr:twoCellAnchor>
  <xdr:twoCellAnchor editAs="absolute">
    <xdr:from>
      <xdr:col>3</xdr:col>
      <xdr:colOff>314324</xdr:colOff>
      <xdr:row>3</xdr:row>
      <xdr:rowOff>180975</xdr:rowOff>
    </xdr:from>
    <xdr:to>
      <xdr:col>10</xdr:col>
      <xdr:colOff>438149</xdr:colOff>
      <xdr:row>15</xdr:row>
      <xdr:rowOff>104775</xdr:rowOff>
    </xdr:to>
    <xdr:graphicFrame macro="">
      <xdr:nvGraphicFramePr>
        <xdr:cNvPr id="21" name="Chart 20">
          <a:extLst>
            <a:ext uri="{FF2B5EF4-FFF2-40B4-BE49-F238E27FC236}">
              <a16:creationId xmlns:a16="http://schemas.microsoft.com/office/drawing/2014/main" id="{07B02214-33B4-44CD-84EC-62B0F34BA9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twoCellAnchor>
  <xdr:twoCellAnchor editAs="absolute">
    <xdr:from>
      <xdr:col>10</xdr:col>
      <xdr:colOff>514350</xdr:colOff>
      <xdr:row>4</xdr:row>
      <xdr:rowOff>0</xdr:rowOff>
    </xdr:from>
    <xdr:to>
      <xdr:col>14</xdr:col>
      <xdr:colOff>514350</xdr:colOff>
      <xdr:row>15</xdr:row>
      <xdr:rowOff>95250</xdr:rowOff>
    </xdr:to>
    <xdr:graphicFrame macro="">
      <xdr:nvGraphicFramePr>
        <xdr:cNvPr id="22" name="Chart 21">
          <a:extLst>
            <a:ext uri="{FF2B5EF4-FFF2-40B4-BE49-F238E27FC236}">
              <a16:creationId xmlns:a16="http://schemas.microsoft.com/office/drawing/2014/main" id="{53A493CA-E6D1-4E9C-9A7E-B584971EEC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editAs="absolute">
    <xdr:from>
      <xdr:col>0</xdr:col>
      <xdr:colOff>0</xdr:colOff>
      <xdr:row>16</xdr:row>
      <xdr:rowOff>28576</xdr:rowOff>
    </xdr:from>
    <xdr:to>
      <xdr:col>3</xdr:col>
      <xdr:colOff>523875</xdr:colOff>
      <xdr:row>26</xdr:row>
      <xdr:rowOff>161924</xdr:rowOff>
    </xdr:to>
    <xdr:grpSp>
      <xdr:nvGrpSpPr>
        <xdr:cNvPr id="8" name="Group 7">
          <a:extLst>
            <a:ext uri="{FF2B5EF4-FFF2-40B4-BE49-F238E27FC236}">
              <a16:creationId xmlns:a16="http://schemas.microsoft.com/office/drawing/2014/main" id="{1BC14F9F-6E3A-1CC6-95A9-5C979AAABFB6}"/>
            </a:ext>
          </a:extLst>
        </xdr:cNvPr>
        <xdr:cNvGrpSpPr/>
      </xdr:nvGrpSpPr>
      <xdr:grpSpPr>
        <a:xfrm>
          <a:off x="0" y="3076576"/>
          <a:ext cx="2352675" cy="2038348"/>
          <a:chOff x="3048000" y="4110573"/>
          <a:chExt cx="2592237" cy="2151408"/>
        </a:xfrm>
      </xdr:grpSpPr>
      <xdr:pic>
        <xdr:nvPicPr>
          <xdr:cNvPr id="3" name="Gráfico 24" descr="Hombre con relleno sólido">
            <a:extLst>
              <a:ext uri="{FF2B5EF4-FFF2-40B4-BE49-F238E27FC236}">
                <a16:creationId xmlns:a16="http://schemas.microsoft.com/office/drawing/2014/main" id="{58C9265F-5CB3-372C-C53E-5C19C68989D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912079" y="4667173"/>
            <a:ext cx="1728158" cy="1594808"/>
          </a:xfrm>
          <a:prstGeom prst="rect">
            <a:avLst/>
          </a:prstGeom>
        </xdr:spPr>
      </xdr:pic>
      <xdr:pic>
        <xdr:nvPicPr>
          <xdr:cNvPr id="4" name="Gráfico 26" descr="Mujer con relleno sólido">
            <a:extLst>
              <a:ext uri="{FF2B5EF4-FFF2-40B4-BE49-F238E27FC236}">
                <a16:creationId xmlns:a16="http://schemas.microsoft.com/office/drawing/2014/main" id="{86B2E979-67F1-E714-3D3D-D34F1C37C9E3}"/>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048000" y="4667173"/>
            <a:ext cx="1728158" cy="1594808"/>
          </a:xfrm>
          <a:prstGeom prst="rect">
            <a:avLst/>
          </a:prstGeom>
        </xdr:spPr>
      </xdr:pic>
      <xdr:sp macro="" textlink="">
        <xdr:nvSpPr>
          <xdr:cNvPr id="5" name="CuadroTexto 54">
            <a:extLst>
              <a:ext uri="{FF2B5EF4-FFF2-40B4-BE49-F238E27FC236}">
                <a16:creationId xmlns:a16="http://schemas.microsoft.com/office/drawing/2014/main" id="{2DE2C0A7-6615-4063-77D1-8E80200D945A}"/>
              </a:ext>
            </a:extLst>
          </xdr:cNvPr>
          <xdr:cNvSpPr txBox="1"/>
        </xdr:nvSpPr>
        <xdr:spPr>
          <a:xfrm>
            <a:off x="3452634" y="4110573"/>
            <a:ext cx="1830777" cy="560092"/>
          </a:xfrm>
          <a:prstGeom prst="rect">
            <a:avLst/>
          </a:prstGeom>
          <a:noFill/>
        </xdr:spPr>
        <xdr:txBody>
          <a:bodyPr wrap="square" rtlCol="0">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CO" sz="1400">
                <a:solidFill>
                  <a:schemeClr val="tx1">
                    <a:lumMod val="50000"/>
                    <a:lumOff val="50000"/>
                  </a:schemeClr>
                </a:solidFill>
              </a:rPr>
              <a:t>Cantidad Empleados por Género</a:t>
            </a:r>
          </a:p>
        </xdr:txBody>
      </xdr:sp>
    </xdr:grpSp>
    <xdr:clientData fLocksWithSheet="0"/>
  </xdr:twoCellAnchor>
  <xdr:twoCellAnchor editAs="absolute">
    <xdr:from>
      <xdr:col>3</xdr:col>
      <xdr:colOff>314326</xdr:colOff>
      <xdr:row>16</xdr:row>
      <xdr:rowOff>28575</xdr:rowOff>
    </xdr:from>
    <xdr:to>
      <xdr:col>10</xdr:col>
      <xdr:colOff>419100</xdr:colOff>
      <xdr:row>31</xdr:row>
      <xdr:rowOff>57150</xdr:rowOff>
    </xdr:to>
    <xdr:graphicFrame macro="">
      <xdr:nvGraphicFramePr>
        <xdr:cNvPr id="16" name="Chart 15">
          <a:extLst>
            <a:ext uri="{FF2B5EF4-FFF2-40B4-BE49-F238E27FC236}">
              <a16:creationId xmlns:a16="http://schemas.microsoft.com/office/drawing/2014/main" id="{88D1F35C-141D-4811-A1C7-609B3D90E9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fLocksWithSheet="0"/>
  </xdr:twoCellAnchor>
  <xdr:twoCellAnchor editAs="absolute">
    <xdr:from>
      <xdr:col>10</xdr:col>
      <xdr:colOff>495300</xdr:colOff>
      <xdr:row>16</xdr:row>
      <xdr:rowOff>19051</xdr:rowOff>
    </xdr:from>
    <xdr:to>
      <xdr:col>14</xdr:col>
      <xdr:colOff>495300</xdr:colOff>
      <xdr:row>31</xdr:row>
      <xdr:rowOff>57151</xdr:rowOff>
    </xdr:to>
    <xdr:graphicFrame macro="">
      <xdr:nvGraphicFramePr>
        <xdr:cNvPr id="23" name="Chart 22">
          <a:extLst>
            <a:ext uri="{FF2B5EF4-FFF2-40B4-BE49-F238E27FC236}">
              <a16:creationId xmlns:a16="http://schemas.microsoft.com/office/drawing/2014/main" id="{9E126711-6910-487A-A4B5-D3C5C62ADE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fLocksWithSheet="0"/>
  </xdr:twoCellAnchor>
  <xdr:twoCellAnchor editAs="oneCell">
    <xdr:from>
      <xdr:col>5</xdr:col>
      <xdr:colOff>447675</xdr:colOff>
      <xdr:row>0</xdr:row>
      <xdr:rowOff>47624</xdr:rowOff>
    </xdr:from>
    <xdr:to>
      <xdr:col>14</xdr:col>
      <xdr:colOff>533400</xdr:colOff>
      <xdr:row>3</xdr:row>
      <xdr:rowOff>114299</xdr:rowOff>
    </xdr:to>
    <mc:AlternateContent xmlns:mc="http://schemas.openxmlformats.org/markup-compatibility/2006" xmlns:a14="http://schemas.microsoft.com/office/drawing/2010/main">
      <mc:Choice Requires="a14">
        <xdr:graphicFrame macro="">
          <xdr:nvGraphicFramePr>
            <xdr:cNvPr id="25" name="Año2">
              <a:extLst>
                <a:ext uri="{FF2B5EF4-FFF2-40B4-BE49-F238E27FC236}">
                  <a16:creationId xmlns:a16="http://schemas.microsoft.com/office/drawing/2014/main" id="{03E8D92C-DA67-43E0-907D-8B7299618E37}"/>
                </a:ext>
              </a:extLst>
            </xdr:cNvPr>
            <xdr:cNvGraphicFramePr/>
          </xdr:nvGraphicFramePr>
          <xdr:xfrm>
            <a:off x="0" y="0"/>
            <a:ext cx="0" cy="0"/>
          </xdr:xfrm>
          <a:graphic>
            <a:graphicData uri="http://schemas.microsoft.com/office/drawing/2010/slicer">
              <sle:slicer xmlns:sle="http://schemas.microsoft.com/office/drawing/2010/slicer" name="Año2"/>
            </a:graphicData>
          </a:graphic>
        </xdr:graphicFrame>
      </mc:Choice>
      <mc:Fallback xmlns="">
        <xdr:sp macro="" textlink="">
          <xdr:nvSpPr>
            <xdr:cNvPr id="0" name=""/>
            <xdr:cNvSpPr>
              <a:spLocks noTextEdit="1"/>
            </xdr:cNvSpPr>
          </xdr:nvSpPr>
          <xdr:spPr>
            <a:xfrm>
              <a:off x="5133975" y="47624"/>
              <a:ext cx="3933825" cy="638175"/>
            </a:xfrm>
            <a:prstGeom prst="rect">
              <a:avLst/>
            </a:prstGeom>
            <a:solidFill>
              <a:prstClr val="white"/>
            </a:solidFill>
            <a:ln w="1">
              <a:solidFill>
                <a:prstClr val="green"/>
              </a:solidFill>
            </a:ln>
          </xdr:spPr>
          <xdr:txBody>
            <a:bodyPr vertOverflow="clip" horzOverflow="clip"/>
            <a:lstStyle/>
            <a:p>
              <a:r>
                <a:rPr lang="es-D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295275</xdr:colOff>
      <xdr:row>0</xdr:row>
      <xdr:rowOff>38102</xdr:rowOff>
    </xdr:from>
    <xdr:to>
      <xdr:col>5</xdr:col>
      <xdr:colOff>400050</xdr:colOff>
      <xdr:row>3</xdr:row>
      <xdr:rowOff>114602</xdr:rowOff>
    </xdr:to>
    <mc:AlternateContent xmlns:mc="http://schemas.openxmlformats.org/markup-compatibility/2006" xmlns:a14="http://schemas.microsoft.com/office/drawing/2010/main">
      <mc:Choice Requires="a14">
        <xdr:graphicFrame macro="">
          <xdr:nvGraphicFramePr>
            <xdr:cNvPr id="28" name="Mes2">
              <a:extLst>
                <a:ext uri="{FF2B5EF4-FFF2-40B4-BE49-F238E27FC236}">
                  <a16:creationId xmlns:a16="http://schemas.microsoft.com/office/drawing/2014/main" id="{D6165396-C6AA-4365-9668-D21524DEE257}"/>
                </a:ext>
              </a:extLst>
            </xdr:cNvPr>
            <xdr:cNvGraphicFramePr/>
          </xdr:nvGraphicFramePr>
          <xdr:xfrm>
            <a:off x="0" y="0"/>
            <a:ext cx="0" cy="0"/>
          </xdr:xfrm>
          <a:graphic>
            <a:graphicData uri="http://schemas.microsoft.com/office/drawing/2010/slicer">
              <sle:slicer xmlns:sle="http://schemas.microsoft.com/office/drawing/2010/slicer" name="Mes2"/>
            </a:graphicData>
          </a:graphic>
        </xdr:graphicFrame>
      </mc:Choice>
      <mc:Fallback xmlns="">
        <xdr:sp macro="" textlink="">
          <xdr:nvSpPr>
            <xdr:cNvPr id="0" name=""/>
            <xdr:cNvSpPr>
              <a:spLocks noTextEdit="1"/>
            </xdr:cNvSpPr>
          </xdr:nvSpPr>
          <xdr:spPr>
            <a:xfrm>
              <a:off x="371475" y="38102"/>
              <a:ext cx="4716000" cy="648000"/>
            </a:xfrm>
            <a:prstGeom prst="rect">
              <a:avLst/>
            </a:prstGeom>
            <a:solidFill>
              <a:prstClr val="white"/>
            </a:solidFill>
            <a:ln w="1">
              <a:solidFill>
                <a:prstClr val="green"/>
              </a:solidFill>
            </a:ln>
          </xdr:spPr>
          <xdr:txBody>
            <a:bodyPr vertOverflow="clip" horzOverflow="clip"/>
            <a:lstStyle/>
            <a:p>
              <a:r>
                <a:rPr lang="es-D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zarous" refreshedDate="45883.482803819446" createdVersion="5" refreshedVersion="8" minRefreshableVersion="3" recordCount="0" supportSubquery="1" supportAdvancedDrill="1" xr:uid="{2BB4D4BF-E7FF-47EB-9DEA-7B386F227ECD}">
  <cacheSource type="external" connectionId="3"/>
  <cacheFields count="5">
    <cacheField name="[Measures].[Total Empleados]" caption="Total Empleados" numFmtId="0" hierarchy="46" level="32767"/>
    <cacheField name="[DatoOrigenRRHH].[SEDE].[SEDE]" caption="SEDE" numFmtId="0" hierarchy="14" level="1">
      <sharedItems count="3">
        <s v="BOGOTA"/>
        <s v="CALI"/>
        <s v="MEDELLIN"/>
      </sharedItems>
    </cacheField>
    <cacheField name="[DatoOrigenRRHH].[GENERO].[GENERO]" caption="GENERO" numFmtId="0" hierarchy="11" level="1">
      <sharedItems count="2">
        <s v="F"/>
        <s v="M"/>
      </sharedItems>
    </cacheField>
    <cacheField name="[Calendar].[Date].[Date]" caption="Date" numFmtId="0" level="1">
      <sharedItems containsSemiMixedTypes="0" containsNonDate="0" containsString="0"/>
    </cacheField>
    <cacheField name="[Calendar].[Mes2].[Mes2]" caption="Mes2" numFmtId="0" hierarchy="4" level="1">
      <sharedItems containsSemiMixedTypes="0" containsNonDate="0" containsString="0"/>
    </cacheField>
  </cacheFields>
  <cacheHierarchies count="53">
    <cacheHierarchy uniqueName="[Calendar].[Date]" caption="Date" attribute="1" time="1" keyAttribute="1" defaultMemberUniqueName="[Calendar].[Date].[All]" allUniqueName="[Calendar].[Date].[All]" dimensionUniqueName="[Calendar]" displayFolder="" count="2" memberValueDatatype="7" unbalanced="0">
      <fieldsUsage count="2">
        <fieldUsage x="-1"/>
        <fieldUsage x="3"/>
      </fieldsUsage>
    </cacheHierarchy>
    <cacheHierarchy uniqueName="[Calendar].[Año2]" caption="Año2" attribute="1" time="1" defaultMemberUniqueName="[Calendar].[Año2].[All]" allUniqueName="[Calendar].[Año2].[All]" dimensionUniqueName="[Calendar]" displayFolder="" count="2" memberValueDatatype="20" unbalanced="0"/>
    <cacheHierarchy uniqueName="[Calendar].[Date Hierarchy]" caption="Date Hierarchy" time="1" defaultMemberUniqueName="[Calendar].[Date Hierarchy].[All]" allUniqueName="[Calendar].[Date Hierarchy].[All]" dimensionUniqueName="[Calendar]" displayFolder="" count="0" unbalanced="0"/>
    <cacheHierarchy uniqueName="[Calendar].[Numero Mes]" caption="Numero Mes" attribute="1" time="1" defaultMemberUniqueName="[Calendar].[Numero Mes].[All]" allUniqueName="[Calendar].[Numero Mes].[All]" dimensionUniqueName="[Calendar]" displayFolder="" count="0" memberValueDatatype="20" unbalanced="0"/>
    <cacheHierarchy uniqueName="[Calendar].[Mes2]" caption="Mes2" attribute="1" time="1" defaultMemberUniqueName="[Calendar].[Mes2].[All]" allUniqueName="[Calendar].[Mes2].[All]" dimensionUniqueName="[Calendar]" displayFolder="" count="2" memberValueDatatype="130" unbalanced="0">
      <fieldsUsage count="2">
        <fieldUsage x="-1"/>
        <fieldUsage x="4"/>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Num Dia]" caption="Num Dia" attribute="1" time="1" defaultMemberUniqueName="[Calendar].[Num Dia].[All]" allUniqueName="[Calendar].[Num Dia].[All]" dimensionUniqueName="[Calendar]" displayFolder="" count="0" memberValueDatatype="20" unbalanced="0"/>
    <cacheHierarchy uniqueName="[Calendar].[Dia de Semana]" caption="Dia de Semana" attribute="1" time="1" defaultMemberUniqueName="[Calendar].[Dia de Semana].[All]" allUniqueName="[Calendar].[Dia de Semana].[All]" dimensionUniqueName="[Calendar]" displayFolder="" count="0" memberValueDatatype="130" unbalanced="0"/>
    <cacheHierarchy uniqueName="[Calendar].[Dia2]" caption="Dia2" attribute="1" time="1" defaultMemberUniqueName="[Calendar].[Dia2].[All]" allUniqueName="[Calendar].[Dia2].[All]" dimensionUniqueName="[Calendar]" displayFolder="" count="0" memberValueDatatype="130" unbalanced="0"/>
    <cacheHierarchy uniqueName="[DatoOrigenRRHH].[DOCUMENTO]" caption="DOCUMENTO" attribute="1" defaultMemberUniqueName="[DatoOrigenRRHH].[DOCUMENTO].[All]" allUniqueName="[DatoOrigenRRHH].[DOCUMENTO].[All]" dimensionUniqueName="[DatoOrigenRRHH]" displayFolder="" count="0" memberValueDatatype="5" unbalanced="0"/>
    <cacheHierarchy uniqueName="[DatoOrigenRRHH].[NOMBRE COMPLETO]" caption="NOMBRE COMPLETO" attribute="1" defaultMemberUniqueName="[DatoOrigenRRHH].[NOMBRE COMPLETO].[All]" allUniqueName="[DatoOrigenRRHH].[NOMBRE COMPLETO].[All]" dimensionUniqueName="[DatoOrigenRRHH]" displayFolder="" count="0" memberValueDatatype="130" unbalanced="0"/>
    <cacheHierarchy uniqueName="[DatoOrigenRRHH].[GENERO]" caption="GENERO" attribute="1" defaultMemberUniqueName="[DatoOrigenRRHH].[GENERO].[All]" allUniqueName="[DatoOrigenRRHH].[GENERO].[All]" dimensionUniqueName="[DatoOrigenRRHH]" displayFolder="" count="2" memberValueDatatype="130" unbalanced="0">
      <fieldsUsage count="2">
        <fieldUsage x="-1"/>
        <fieldUsage x="2"/>
      </fieldsUsage>
    </cacheHierarchy>
    <cacheHierarchy uniqueName="[DatoOrigenRRHH].[AREA]" caption="AREA" attribute="1" defaultMemberUniqueName="[DatoOrigenRRHH].[AREA].[All]" allUniqueName="[DatoOrigenRRHH].[AREA].[All]" dimensionUniqueName="[DatoOrigenRRHH]" displayFolder="" count="0" memberValueDatatype="130" unbalanced="0"/>
    <cacheHierarchy uniqueName="[DatoOrigenRRHH].[CARGO]" caption="CARGO" attribute="1" defaultMemberUniqueName="[DatoOrigenRRHH].[CARGO].[All]" allUniqueName="[DatoOrigenRRHH].[CARGO].[All]" dimensionUniqueName="[DatoOrigenRRHH]" displayFolder="" count="0" memberValueDatatype="130" unbalanced="0"/>
    <cacheHierarchy uniqueName="[DatoOrigenRRHH].[SEDE]" caption="SEDE" attribute="1" defaultMemberUniqueName="[DatoOrigenRRHH].[SEDE].[All]" allUniqueName="[DatoOrigenRRHH].[SEDE].[All]" dimensionUniqueName="[DatoOrigenRRHH]" displayFolder="" count="2" memberValueDatatype="130" unbalanced="0">
      <fieldsUsage count="2">
        <fieldUsage x="-1"/>
        <fieldUsage x="1"/>
      </fieldsUsage>
    </cacheHierarchy>
    <cacheHierarchy uniqueName="[DatoOrigenRRHH].[SALARIO BÁSICO]" caption="SALARIO BÁSICO" attribute="1" defaultMemberUniqueName="[DatoOrigenRRHH].[SALARIO BÁSICO].[All]" allUniqueName="[DatoOrigenRRHH].[SALARIO BÁSICO].[All]" dimensionUniqueName="[DatoOrigenRRHH]" displayFolder="" count="0" memberValueDatatype="5" unbalanced="0"/>
    <cacheHierarchy uniqueName="[DatoOrigenRRHH].[COMISION]" caption="COMISION" attribute="1" defaultMemberUniqueName="[DatoOrigenRRHH].[COMISION].[All]" allUniqueName="[DatoOrigenRRHH].[COMISION].[All]" dimensionUniqueName="[DatoOrigenRRHH]" displayFolder="" count="0" memberValueDatatype="20" unbalanced="0"/>
    <cacheHierarchy uniqueName="[DatoOrigenRRHH].[PROMEDIO DEVENGADO MENSUAL]" caption="PROMEDIO DEVENGADO MENSUAL" attribute="1" defaultMemberUniqueName="[DatoOrigenRRHH].[PROMEDIO DEVENGADO MENSUAL].[All]" allUniqueName="[DatoOrigenRRHH].[PROMEDIO DEVENGADO MENSUAL].[All]" dimensionUniqueName="[DatoOrigenRRHH]" displayFolder="" count="0" memberValueDatatype="5" unbalanced="0"/>
    <cacheHierarchy uniqueName="[DatoOrigenRRHH].[EPS]" caption="EPS" attribute="1" defaultMemberUniqueName="[DatoOrigenRRHH].[EPS].[All]" allUniqueName="[DatoOrigenRRHH].[EPS].[All]" dimensionUniqueName="[DatoOrigenRRHH]" displayFolder="" count="0" memberValueDatatype="130" unbalanced="0"/>
    <cacheHierarchy uniqueName="[DatoOrigenRRHH].[AFP]" caption="AFP" attribute="1" defaultMemberUniqueName="[DatoOrigenRRHH].[AFP].[All]" allUniqueName="[DatoOrigenRRHH].[AFP].[All]" dimensionUniqueName="[DatoOrigenRRHH]" displayFolder="" count="0" memberValueDatatype="130" unbalanced="0"/>
    <cacheHierarchy uniqueName="[DatoOrigenRRHH].[FECHA DE NACIMIENTO]" caption="FECHA DE NACIMIENTO" attribute="1" time="1" defaultMemberUniqueName="[DatoOrigenRRHH].[FECHA DE NACIMIENTO].[All]" allUniqueName="[DatoOrigenRRHH].[FECHA DE NACIMIENTO].[All]" dimensionUniqueName="[DatoOrigenRRHH]" displayFolder="" count="0" memberValueDatatype="7" unbalanced="0"/>
    <cacheHierarchy uniqueName="[DatoOrigenRRHH].[EDAD]" caption="EDAD" attribute="1" defaultMemberUniqueName="[DatoOrigenRRHH].[EDAD].[All]" allUniqueName="[DatoOrigenRRHH].[EDAD].[All]" dimensionUniqueName="[DatoOrigenRRHH]" displayFolder="" count="0" memberValueDatatype="20" unbalanced="0"/>
    <cacheHierarchy uniqueName="[DatoOrigenRRHH].[DIRECCION]" caption="DIRECCION" attribute="1" defaultMemberUniqueName="[DatoOrigenRRHH].[DIRECCION].[All]" allUniqueName="[DatoOrigenRRHH].[DIRECCION].[All]" dimensionUniqueName="[DatoOrigenRRHH]" displayFolder="" count="0" memberValueDatatype="130" unbalanced="0"/>
    <cacheHierarchy uniqueName="[DatoOrigenRRHH].[MUNICIPIO]" caption="MUNICIPIO" attribute="1" defaultMemberUniqueName="[DatoOrigenRRHH].[MUNICIPIO].[All]" allUniqueName="[DatoOrigenRRHH].[MUNICIPIO].[All]" dimensionUniqueName="[DatoOrigenRRHH]" displayFolder="" count="0" memberValueDatatype="130" unbalanced="0"/>
    <cacheHierarchy uniqueName="[DatoOrigenRRHH].[HIJOS]" caption="HIJOS" attribute="1" defaultMemberUniqueName="[DatoOrigenRRHH].[HIJOS].[All]" allUniqueName="[DatoOrigenRRHH].[HIJOS].[All]" dimensionUniqueName="[DatoOrigenRRHH]" displayFolder="" count="0" memberValueDatatype="130" unbalanced="0"/>
    <cacheHierarchy uniqueName="[DatoOrigenRRHH].[FECHA DE INGRESO DD/MM/AAAA]" caption="FECHA DE INGRESO DD/MM/AAAA" attribute="1" time="1" defaultMemberUniqueName="[DatoOrigenRRHH].[FECHA DE INGRESO DD/MM/AAAA].[All]" allUniqueName="[DatoOrigenRRHH].[FECHA DE INGRESO DD/MM/AAAA].[All]" dimensionUniqueName="[DatoOrigenRRHH]" displayFolder="" count="0" memberValueDatatype="7" unbalanced="0"/>
    <cacheHierarchy uniqueName="[DatoOrigenRRHH].[FECHA DE SALIDA DD/MM/AAAA]" caption="FECHA DE SALIDA DD/MM/AAAA" attribute="1" time="1" defaultMemberUniqueName="[DatoOrigenRRHH].[FECHA DE SALIDA DD/MM/AAAA].[All]" allUniqueName="[DatoOrigenRRHH].[FECHA DE SALIDA DD/MM/AAAA].[All]" dimensionUniqueName="[DatoOrigenRRHH]" displayFolder="" count="0" memberValueDatatype="7" unbalanced="0"/>
    <cacheHierarchy uniqueName="[DatoOrigenRRHH].[TIPO DE CONTRATO]" caption="TIPO DE CONTRATO" attribute="1" defaultMemberUniqueName="[DatoOrigenRRHH].[TIPO DE CONTRATO].[All]" allUniqueName="[DatoOrigenRRHH].[TIPO DE CONTRATO].[All]" dimensionUniqueName="[DatoOrigenRRHH]" displayFolder="" count="0" memberValueDatatype="130" unbalanced="0"/>
    <cacheHierarchy uniqueName="[DatoOrigenRRHH].[ANTIGUEDAD AÑOS]" caption="ANTIGUEDAD AÑOS" attribute="1" defaultMemberUniqueName="[DatoOrigenRRHH].[ANTIGUEDAD AÑOS].[All]" allUniqueName="[DatoOrigenRRHH].[ANTIGUEDAD AÑOS].[All]" dimensionUniqueName="[DatoOrigenRRHH]" displayFolder="" count="0" memberValueDatatype="5" unbalanced="0"/>
    <cacheHierarchy uniqueName="[DatoOrigenRRHH].[NIVEL EDUCATIVO]" caption="NIVEL EDUCATIVO" attribute="1" defaultMemberUniqueName="[DatoOrigenRRHH].[NIVEL EDUCATIVO].[All]" allUniqueName="[DatoOrigenRRHH].[NIVEL EDUCATIVO].[All]" dimensionUniqueName="[DatoOrigenRRHH]" displayFolder="" count="0" memberValueDatatype="130" unbalanced="0"/>
    <cacheHierarchy uniqueName="[DatoOrigenRRHH].[ESTADO]" caption="ESTADO" attribute="1" defaultMemberUniqueName="[DatoOrigenRRHH].[ESTADO].[All]" allUniqueName="[DatoOrigenRRHH].[ESTADO].[All]" dimensionUniqueName="[DatoOrigenRRHH]" displayFolder="" count="0" memberValueDatatype="130" unbalanced="0"/>
    <cacheHierarchy uniqueName="[DatoOrigenRRHH].[GRUPO EDAD]" caption="GRUPO EDAD" attribute="1" defaultMemberUniqueName="[DatoOrigenRRHH].[GRUPO EDAD].[All]" allUniqueName="[DatoOrigenRRHH].[GRUPO EDAD].[All]" dimensionUniqueName="[DatoOrigenRRHH]" displayFolder="" count="0" memberValueDatatype="130" unbalanced="0"/>
    <cacheHierarchy uniqueName="[DatoOrigenRRHH].[SEGURO DE VIDA]" caption="SEGURO DE VIDA" attribute="1" defaultMemberUniqueName="[DatoOrigenRRHH].[SEGURO DE VIDA].[All]" allUniqueName="[DatoOrigenRRHH].[SEGURO DE VIDA].[All]" dimensionUniqueName="[DatoOrigenRRHH]" displayFolder="" count="0" memberValueDatatype="130" unbalanced="0"/>
    <cacheHierarchy uniqueName="[DatoOrigenRRHH].[RANGO SALARIAL]" caption="RANGO SALARIAL" attribute="1" defaultMemberUniqueName="[DatoOrigenRRHH].[RANGO SALARIAL].[All]" allUniqueName="[DatoOrigenRRHH].[RANGO SALARIAL].[All]" dimensionUniqueName="[DatoOrigenRRHH]" displayFolder="" count="0" memberValueDatatype="130" unbalanced="0"/>
    <cacheHierarchy uniqueName="[DatoOrigenRRHH].[GENERACION]" caption="GENERACION" attribute="1" defaultMemberUniqueName="[DatoOrigenRRHH].[GENERACION].[All]" allUniqueName="[DatoOrigenRRHH].[GENERACION].[All]" dimensionUniqueName="[DatoOrigenRRHH]" displayFolder="" count="0" memberValueDatatype="130" unbalanced="0"/>
    <cacheHierarchy uniqueName="[DatoOrigenRRHH].[FECHA DE INGRESO DD/MM/AAAA (Year)]" caption="FECHA DE INGRESO DD/MM/AAAA (Year)" attribute="1" defaultMemberUniqueName="[DatoOrigenRRHH].[FECHA DE INGRESO DD/MM/AAAA (Year)].[All]" allUniqueName="[DatoOrigenRRHH].[FECHA DE INGRESO DD/MM/AAAA (Year)].[All]" dimensionUniqueName="[DatoOrigenRRHH]" displayFolder="" count="0" memberValueDatatype="130" unbalanced="0"/>
    <cacheHierarchy uniqueName="[DatoOrigenRRHH].[FECHA DE INGRESO DD/MM/AAAA (Quarter)]" caption="FECHA DE INGRESO DD/MM/AAAA (Quarter)" attribute="1" defaultMemberUniqueName="[DatoOrigenRRHH].[FECHA DE INGRESO DD/MM/AAAA (Quarter)].[All]" allUniqueName="[DatoOrigenRRHH].[FECHA DE INGRESO DD/MM/AAAA (Quarter)].[All]" dimensionUniqueName="[DatoOrigenRRHH]" displayFolder="" count="0" memberValueDatatype="130" unbalanced="0"/>
    <cacheHierarchy uniqueName="[DatoOrigenRRHH].[FECHA DE INGRESO DD/MM/AAAA (Month)]" caption="FECHA DE INGRESO DD/MM/AAAA (Month)" attribute="1" defaultMemberUniqueName="[DatoOrigenRRHH].[FECHA DE INGRESO DD/MM/AAAA (Month)].[All]" allUniqueName="[DatoOrigenRRHH].[FECHA DE INGRESO DD/MM/AAAA (Month)].[All]" dimensionUniqueName="[DatoOrigenRRHH]" displayFolder="" count="0" memberValueDatatype="130" unbalanced="0"/>
    <cacheHierarchy uniqueName="[DatoOrigenRRHH].[FECHA DE INGRESO DD/MM/AAAA (Month Index)]" caption="FECHA DE INGRESO DD/MM/AAAA (Month Index)" attribute="1" defaultMemberUniqueName="[DatoOrigenRRHH].[FECHA DE INGRESO DD/MM/AAAA (Month Index)].[All]" allUniqueName="[DatoOrigenRRHH].[FECHA DE INGRESO DD/MM/AAAA (Month Index)].[All]" dimensionUniqueName="[DatoOrigenRRHH]" displayFolder="" count="0" memberValueDatatype="20" unbalanced="0" hidden="1"/>
    <cacheHierarchy uniqueName="[Measures].[Cantidad Empleados]" caption="Cantidad Emplead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cacheHierarchy uniqueName="[Measures].[Cantidad Inactivos]" caption="Cantidad Inactivos" measure="1" displayFolder="" measureGroup="DatoOrigenRRHH" count="0"/>
    <cacheHierarchy uniqueName="[Measures].[Cantidad Activos]" caption="Cantidad Activ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cacheHierarchy uniqueName="[Measures].[Total Empleados]" caption="Total Empleados" measure="1" displayFolder="" measureGroup="DatoOrigenRRHH" count="0" oneField="1">
      <fieldsUsage count="1">
        <fieldUsage x="0"/>
      </fieldsUsage>
    </cacheHierarchy>
    <cacheHierarchy uniqueName="[Measures].[__XL_Count DatoOrigenRRHH]" caption="__XL_Count DatoOrigenRRHH" measure="1" displayFolder="" measureGroup="DatoOrigenRRHH"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GENERACION]" caption="Count of GENERACION" measure="1" displayFolder="" measureGroup="DatoOrigenRRHH" count="0" hidden="1">
      <extLst>
        <ext xmlns:x15="http://schemas.microsoft.com/office/spreadsheetml/2010/11/main" uri="{B97F6D7D-B522-45F9-BDA1-12C45D357490}">
          <x15:cacheHierarchy aggregatedColumn="34"/>
        </ext>
      </extLst>
    </cacheHierarchy>
    <cacheHierarchy uniqueName="[Measures].[Count of CARGO]" caption="Count of CARGO" measure="1" displayFolder="" measureGroup="DatoOrigenRRHH" count="0" hidden="1">
      <extLst>
        <ext xmlns:x15="http://schemas.microsoft.com/office/spreadsheetml/2010/11/main" uri="{B97F6D7D-B522-45F9-BDA1-12C45D357490}">
          <x15:cacheHierarchy aggregatedColumn="13"/>
        </ext>
      </extLst>
    </cacheHierarchy>
    <cacheHierarchy uniqueName="[Measures].[Sum of EDAD]" caption="Sum of EDAD" measure="1" displayFolder="" measureGroup="DatoOrigenRRHH"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name="DatoOrigenRRHH" uniqueName="[DatoOrigenRRHH]" caption="DatoOrigenRRHH"/>
    <dimension measure="1" name="Measures" uniqueName="[Measures]" caption="Measures"/>
  </dimensions>
  <measureGroups count="2">
    <measureGroup name="Calendar" caption="Calendar"/>
    <measureGroup name="DatoOrigenRRHH" caption="DatoOrigenRRHH"/>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zarous" refreshedDate="45883.48280416667" createdVersion="5" refreshedVersion="8" minRefreshableVersion="3" recordCount="0" supportSubquery="1" supportAdvancedDrill="1" xr:uid="{B6100964-D44E-4834-86A0-F39F8564C3D0}">
  <cacheSource type="external" connectionId="3"/>
  <cacheFields count="2">
    <cacheField name="[Measures].[Cantidad Activos]" caption="Cantidad Activos" numFmtId="0" hierarchy="43" level="32767"/>
    <cacheField name="[Calendar].[Mes2].[Mes2]" caption="Mes2" numFmtId="0" hierarchy="4" level="1">
      <sharedItems containsSemiMixedTypes="0" containsNonDate="0" containsString="0"/>
    </cacheField>
  </cacheFields>
  <cacheHierarchies count="53">
    <cacheHierarchy uniqueName="[Calendar].[Date]" caption="Date" attribute="1" time="1" keyAttribute="1" defaultMemberUniqueName="[Calendar].[Date].[All]" allUniqueName="[Calendar].[Date].[All]" dimensionUniqueName="[Calendar]" displayFolder="" count="0" memberValueDatatype="7" unbalanced="0"/>
    <cacheHierarchy uniqueName="[Calendar].[Año2]" caption="Año2" attribute="1" time="1" defaultMemberUniqueName="[Calendar].[Año2].[All]" allUniqueName="[Calendar].[Año2].[All]" dimensionUniqueName="[Calendar]" displayFolder="" count="2" memberValueDatatype="20" unbalanced="0"/>
    <cacheHierarchy uniqueName="[Calendar].[Date Hierarchy]" caption="Date Hierarchy" time="1" defaultMemberUniqueName="[Calendar].[Date Hierarchy].[All]" allUniqueName="[Calendar].[Date Hierarchy].[All]" dimensionUniqueName="[Calendar]" displayFolder="" count="0" unbalanced="0"/>
    <cacheHierarchy uniqueName="[Calendar].[Numero Mes]" caption="Numero Mes" attribute="1" time="1" defaultMemberUniqueName="[Calendar].[Numero Mes].[All]" allUniqueName="[Calendar].[Numero Mes].[All]" dimensionUniqueName="[Calendar]" displayFolder="" count="0" memberValueDatatype="20" unbalanced="0"/>
    <cacheHierarchy uniqueName="[Calendar].[Mes2]" caption="Mes2" attribute="1" time="1" defaultMemberUniqueName="[Calendar].[Mes2].[All]" allUniqueName="[Calendar].[Mes2].[All]" dimensionUniqueName="[Calendar]" displayFolder="" count="2" memberValueDatatype="130" unbalanced="0">
      <fieldsUsage count="2">
        <fieldUsage x="-1"/>
        <fieldUsage x="1"/>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Num Dia]" caption="Num Dia" attribute="1" time="1" defaultMemberUniqueName="[Calendar].[Num Dia].[All]" allUniqueName="[Calendar].[Num Dia].[All]" dimensionUniqueName="[Calendar]" displayFolder="" count="0" memberValueDatatype="20" unbalanced="0"/>
    <cacheHierarchy uniqueName="[Calendar].[Dia de Semana]" caption="Dia de Semana" attribute="1" time="1" defaultMemberUniqueName="[Calendar].[Dia de Semana].[All]" allUniqueName="[Calendar].[Dia de Semana].[All]" dimensionUniqueName="[Calendar]" displayFolder="" count="0" memberValueDatatype="130" unbalanced="0"/>
    <cacheHierarchy uniqueName="[Calendar].[Dia2]" caption="Dia2" attribute="1" time="1" defaultMemberUniqueName="[Calendar].[Dia2].[All]" allUniqueName="[Calendar].[Dia2].[All]" dimensionUniqueName="[Calendar]" displayFolder="" count="0" memberValueDatatype="130" unbalanced="0"/>
    <cacheHierarchy uniqueName="[DatoOrigenRRHH].[DOCUMENTO]" caption="DOCUMENTO" attribute="1" defaultMemberUniqueName="[DatoOrigenRRHH].[DOCUMENTO].[All]" allUniqueName="[DatoOrigenRRHH].[DOCUMENTO].[All]" dimensionUniqueName="[DatoOrigenRRHH]" displayFolder="" count="0" memberValueDatatype="5" unbalanced="0"/>
    <cacheHierarchy uniqueName="[DatoOrigenRRHH].[NOMBRE COMPLETO]" caption="NOMBRE COMPLETO" attribute="1" defaultMemberUniqueName="[DatoOrigenRRHH].[NOMBRE COMPLETO].[All]" allUniqueName="[DatoOrigenRRHH].[NOMBRE COMPLETO].[All]" dimensionUniqueName="[DatoOrigenRRHH]" displayFolder="" count="0" memberValueDatatype="130" unbalanced="0"/>
    <cacheHierarchy uniqueName="[DatoOrigenRRHH].[GENERO]" caption="GENERO" attribute="1" defaultMemberUniqueName="[DatoOrigenRRHH].[GENERO].[All]" allUniqueName="[DatoOrigenRRHH].[GENERO].[All]" dimensionUniqueName="[DatoOrigenRRHH]" displayFolder="" count="0" memberValueDatatype="130" unbalanced="0"/>
    <cacheHierarchy uniqueName="[DatoOrigenRRHH].[AREA]" caption="AREA" attribute="1" defaultMemberUniqueName="[DatoOrigenRRHH].[AREA].[All]" allUniqueName="[DatoOrigenRRHH].[AREA].[All]" dimensionUniqueName="[DatoOrigenRRHH]" displayFolder="" count="0" memberValueDatatype="130" unbalanced="0"/>
    <cacheHierarchy uniqueName="[DatoOrigenRRHH].[CARGO]" caption="CARGO" attribute="1" defaultMemberUniqueName="[DatoOrigenRRHH].[CARGO].[All]" allUniqueName="[DatoOrigenRRHH].[CARGO].[All]" dimensionUniqueName="[DatoOrigenRRHH]" displayFolder="" count="0" memberValueDatatype="130" unbalanced="0"/>
    <cacheHierarchy uniqueName="[DatoOrigenRRHH].[SEDE]" caption="SEDE" attribute="1" defaultMemberUniqueName="[DatoOrigenRRHH].[SEDE].[All]" allUniqueName="[DatoOrigenRRHH].[SEDE].[All]" dimensionUniqueName="[DatoOrigenRRHH]" displayFolder="" count="0" memberValueDatatype="130" unbalanced="0"/>
    <cacheHierarchy uniqueName="[DatoOrigenRRHH].[SALARIO BÁSICO]" caption="SALARIO BÁSICO" attribute="1" defaultMemberUniqueName="[DatoOrigenRRHH].[SALARIO BÁSICO].[All]" allUniqueName="[DatoOrigenRRHH].[SALARIO BÁSICO].[All]" dimensionUniqueName="[DatoOrigenRRHH]" displayFolder="" count="0" memberValueDatatype="5" unbalanced="0"/>
    <cacheHierarchy uniqueName="[DatoOrigenRRHH].[COMISION]" caption="COMISION" attribute="1" defaultMemberUniqueName="[DatoOrigenRRHH].[COMISION].[All]" allUniqueName="[DatoOrigenRRHH].[COMISION].[All]" dimensionUniqueName="[DatoOrigenRRHH]" displayFolder="" count="0" memberValueDatatype="20" unbalanced="0"/>
    <cacheHierarchy uniqueName="[DatoOrigenRRHH].[PROMEDIO DEVENGADO MENSUAL]" caption="PROMEDIO DEVENGADO MENSUAL" attribute="1" defaultMemberUniqueName="[DatoOrigenRRHH].[PROMEDIO DEVENGADO MENSUAL].[All]" allUniqueName="[DatoOrigenRRHH].[PROMEDIO DEVENGADO MENSUAL].[All]" dimensionUniqueName="[DatoOrigenRRHH]" displayFolder="" count="0" memberValueDatatype="5" unbalanced="0"/>
    <cacheHierarchy uniqueName="[DatoOrigenRRHH].[EPS]" caption="EPS" attribute="1" defaultMemberUniqueName="[DatoOrigenRRHH].[EPS].[All]" allUniqueName="[DatoOrigenRRHH].[EPS].[All]" dimensionUniqueName="[DatoOrigenRRHH]" displayFolder="" count="0" memberValueDatatype="130" unbalanced="0"/>
    <cacheHierarchy uniqueName="[DatoOrigenRRHH].[AFP]" caption="AFP" attribute="1" defaultMemberUniqueName="[DatoOrigenRRHH].[AFP].[All]" allUniqueName="[DatoOrigenRRHH].[AFP].[All]" dimensionUniqueName="[DatoOrigenRRHH]" displayFolder="" count="0" memberValueDatatype="130" unbalanced="0"/>
    <cacheHierarchy uniqueName="[DatoOrigenRRHH].[FECHA DE NACIMIENTO]" caption="FECHA DE NACIMIENTO" attribute="1" time="1" defaultMemberUniqueName="[DatoOrigenRRHH].[FECHA DE NACIMIENTO].[All]" allUniqueName="[DatoOrigenRRHH].[FECHA DE NACIMIENTO].[All]" dimensionUniqueName="[DatoOrigenRRHH]" displayFolder="" count="0" memberValueDatatype="7" unbalanced="0"/>
    <cacheHierarchy uniqueName="[DatoOrigenRRHH].[EDAD]" caption="EDAD" attribute="1" defaultMemberUniqueName="[DatoOrigenRRHH].[EDAD].[All]" allUniqueName="[DatoOrigenRRHH].[EDAD].[All]" dimensionUniqueName="[DatoOrigenRRHH]" displayFolder="" count="0" memberValueDatatype="20" unbalanced="0"/>
    <cacheHierarchy uniqueName="[DatoOrigenRRHH].[DIRECCION]" caption="DIRECCION" attribute="1" defaultMemberUniqueName="[DatoOrigenRRHH].[DIRECCION].[All]" allUniqueName="[DatoOrigenRRHH].[DIRECCION].[All]" dimensionUniqueName="[DatoOrigenRRHH]" displayFolder="" count="0" memberValueDatatype="130" unbalanced="0"/>
    <cacheHierarchy uniqueName="[DatoOrigenRRHH].[MUNICIPIO]" caption="MUNICIPIO" attribute="1" defaultMemberUniqueName="[DatoOrigenRRHH].[MUNICIPIO].[All]" allUniqueName="[DatoOrigenRRHH].[MUNICIPIO].[All]" dimensionUniqueName="[DatoOrigenRRHH]" displayFolder="" count="0" memberValueDatatype="130" unbalanced="0"/>
    <cacheHierarchy uniqueName="[DatoOrigenRRHH].[HIJOS]" caption="HIJOS" attribute="1" defaultMemberUniqueName="[DatoOrigenRRHH].[HIJOS].[All]" allUniqueName="[DatoOrigenRRHH].[HIJOS].[All]" dimensionUniqueName="[DatoOrigenRRHH]" displayFolder="" count="0" memberValueDatatype="130" unbalanced="0"/>
    <cacheHierarchy uniqueName="[DatoOrigenRRHH].[FECHA DE INGRESO DD/MM/AAAA]" caption="FECHA DE INGRESO DD/MM/AAAA" attribute="1" time="1" defaultMemberUniqueName="[DatoOrigenRRHH].[FECHA DE INGRESO DD/MM/AAAA].[All]" allUniqueName="[DatoOrigenRRHH].[FECHA DE INGRESO DD/MM/AAAA].[All]" dimensionUniqueName="[DatoOrigenRRHH]" displayFolder="" count="0" memberValueDatatype="7" unbalanced="0"/>
    <cacheHierarchy uniqueName="[DatoOrigenRRHH].[FECHA DE SALIDA DD/MM/AAAA]" caption="FECHA DE SALIDA DD/MM/AAAA" attribute="1" time="1" defaultMemberUniqueName="[DatoOrigenRRHH].[FECHA DE SALIDA DD/MM/AAAA].[All]" allUniqueName="[DatoOrigenRRHH].[FECHA DE SALIDA DD/MM/AAAA].[All]" dimensionUniqueName="[DatoOrigenRRHH]" displayFolder="" count="0" memberValueDatatype="7" unbalanced="0"/>
    <cacheHierarchy uniqueName="[DatoOrigenRRHH].[TIPO DE CONTRATO]" caption="TIPO DE CONTRATO" attribute="1" defaultMemberUniqueName="[DatoOrigenRRHH].[TIPO DE CONTRATO].[All]" allUniqueName="[DatoOrigenRRHH].[TIPO DE CONTRATO].[All]" dimensionUniqueName="[DatoOrigenRRHH]" displayFolder="" count="0" memberValueDatatype="130" unbalanced="0"/>
    <cacheHierarchy uniqueName="[DatoOrigenRRHH].[ANTIGUEDAD AÑOS]" caption="ANTIGUEDAD AÑOS" attribute="1" defaultMemberUniqueName="[DatoOrigenRRHH].[ANTIGUEDAD AÑOS].[All]" allUniqueName="[DatoOrigenRRHH].[ANTIGUEDAD AÑOS].[All]" dimensionUniqueName="[DatoOrigenRRHH]" displayFolder="" count="0" memberValueDatatype="5" unbalanced="0"/>
    <cacheHierarchy uniqueName="[DatoOrigenRRHH].[NIVEL EDUCATIVO]" caption="NIVEL EDUCATIVO" attribute="1" defaultMemberUniqueName="[DatoOrigenRRHH].[NIVEL EDUCATIVO].[All]" allUniqueName="[DatoOrigenRRHH].[NIVEL EDUCATIVO].[All]" dimensionUniqueName="[DatoOrigenRRHH]" displayFolder="" count="0" memberValueDatatype="130" unbalanced="0"/>
    <cacheHierarchy uniqueName="[DatoOrigenRRHH].[ESTADO]" caption="ESTADO" attribute="1" defaultMemberUniqueName="[DatoOrigenRRHH].[ESTADO].[All]" allUniqueName="[DatoOrigenRRHH].[ESTADO].[All]" dimensionUniqueName="[DatoOrigenRRHH]" displayFolder="" count="0" memberValueDatatype="130" unbalanced="0"/>
    <cacheHierarchy uniqueName="[DatoOrigenRRHH].[GRUPO EDAD]" caption="GRUPO EDAD" attribute="1" defaultMemberUniqueName="[DatoOrigenRRHH].[GRUPO EDAD].[All]" allUniqueName="[DatoOrigenRRHH].[GRUPO EDAD].[All]" dimensionUniqueName="[DatoOrigenRRHH]" displayFolder="" count="0" memberValueDatatype="130" unbalanced="0"/>
    <cacheHierarchy uniqueName="[DatoOrigenRRHH].[SEGURO DE VIDA]" caption="SEGURO DE VIDA" attribute="1" defaultMemberUniqueName="[DatoOrigenRRHH].[SEGURO DE VIDA].[All]" allUniqueName="[DatoOrigenRRHH].[SEGURO DE VIDA].[All]" dimensionUniqueName="[DatoOrigenRRHH]" displayFolder="" count="0" memberValueDatatype="130" unbalanced="0"/>
    <cacheHierarchy uniqueName="[DatoOrigenRRHH].[RANGO SALARIAL]" caption="RANGO SALARIAL" attribute="1" defaultMemberUniqueName="[DatoOrigenRRHH].[RANGO SALARIAL].[All]" allUniqueName="[DatoOrigenRRHH].[RANGO SALARIAL].[All]" dimensionUniqueName="[DatoOrigenRRHH]" displayFolder="" count="0" memberValueDatatype="130" unbalanced="0"/>
    <cacheHierarchy uniqueName="[DatoOrigenRRHH].[GENERACION]" caption="GENERACION" attribute="1" defaultMemberUniqueName="[DatoOrigenRRHH].[GENERACION].[All]" allUniqueName="[DatoOrigenRRHH].[GENERACION].[All]" dimensionUniqueName="[DatoOrigenRRHH]" displayFolder="" count="0" memberValueDatatype="130" unbalanced="0"/>
    <cacheHierarchy uniqueName="[DatoOrigenRRHH].[FECHA DE INGRESO DD/MM/AAAA (Year)]" caption="FECHA DE INGRESO DD/MM/AAAA (Year)" attribute="1" defaultMemberUniqueName="[DatoOrigenRRHH].[FECHA DE INGRESO DD/MM/AAAA (Year)].[All]" allUniqueName="[DatoOrigenRRHH].[FECHA DE INGRESO DD/MM/AAAA (Year)].[All]" dimensionUniqueName="[DatoOrigenRRHH]" displayFolder="" count="0" memberValueDatatype="130" unbalanced="0"/>
    <cacheHierarchy uniqueName="[DatoOrigenRRHH].[FECHA DE INGRESO DD/MM/AAAA (Quarter)]" caption="FECHA DE INGRESO DD/MM/AAAA (Quarter)" attribute="1" defaultMemberUniqueName="[DatoOrigenRRHH].[FECHA DE INGRESO DD/MM/AAAA (Quarter)].[All]" allUniqueName="[DatoOrigenRRHH].[FECHA DE INGRESO DD/MM/AAAA (Quarter)].[All]" dimensionUniqueName="[DatoOrigenRRHH]" displayFolder="" count="0" memberValueDatatype="130" unbalanced="0"/>
    <cacheHierarchy uniqueName="[DatoOrigenRRHH].[FECHA DE INGRESO DD/MM/AAAA (Month)]" caption="FECHA DE INGRESO DD/MM/AAAA (Month)" attribute="1" defaultMemberUniqueName="[DatoOrigenRRHH].[FECHA DE INGRESO DD/MM/AAAA (Month)].[All]" allUniqueName="[DatoOrigenRRHH].[FECHA DE INGRESO DD/MM/AAAA (Month)].[All]" dimensionUniqueName="[DatoOrigenRRHH]" displayFolder="" count="0" memberValueDatatype="130" unbalanced="0"/>
    <cacheHierarchy uniqueName="[DatoOrigenRRHH].[FECHA DE INGRESO DD/MM/AAAA (Month Index)]" caption="FECHA DE INGRESO DD/MM/AAAA (Month Index)" attribute="1" defaultMemberUniqueName="[DatoOrigenRRHH].[FECHA DE INGRESO DD/MM/AAAA (Month Index)].[All]" allUniqueName="[DatoOrigenRRHH].[FECHA DE INGRESO DD/MM/AAAA (Month Index)].[All]" dimensionUniqueName="[DatoOrigenRRHH]" displayFolder="" count="0" memberValueDatatype="20" unbalanced="0" hidden="1"/>
    <cacheHierarchy uniqueName="[Measures].[Cantidad Empleados]" caption="Cantidad Emplead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cacheHierarchy uniqueName="[Measures].[Cantidad Inactivos]" caption="Cantidad Inactivos" measure="1" displayFolder="" measureGroup="DatoOrigenRRHH" count="0"/>
    <cacheHierarchy uniqueName="[Measures].[Cantidad Activos]" caption="Cantidad Activos" measure="1" displayFolder="" measureGroup="DatoOrigenRRHH" count="0" oneField="1">
      <fieldsUsage count="1">
        <fieldUsage x="0"/>
      </fieldsUsage>
    </cacheHierarchy>
    <cacheHierarchy uniqueName="[Measures].[%Mujeres]" caption="%Mujeres" measure="1" displayFolder="" measureGroup="DatoOrigenRRHH" count="0"/>
    <cacheHierarchy uniqueName="[Measures].[%Hombres]" caption="%Hombres" measure="1" displayFolder="" measureGroup="DatoOrigenRRHH" count="0"/>
    <cacheHierarchy uniqueName="[Measures].[Total Empleados]" caption="Total Empleados" measure="1" displayFolder="" measureGroup="DatoOrigenRRHH" count="0"/>
    <cacheHierarchy uniqueName="[Measures].[__XL_Count DatoOrigenRRHH]" caption="__XL_Count DatoOrigenRRHH" measure="1" displayFolder="" measureGroup="DatoOrigenRRHH"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GENERACION]" caption="Count of GENERACION" measure="1" displayFolder="" measureGroup="DatoOrigenRRHH" count="0" hidden="1">
      <extLst>
        <ext xmlns:x15="http://schemas.microsoft.com/office/spreadsheetml/2010/11/main" uri="{B97F6D7D-B522-45F9-BDA1-12C45D357490}">
          <x15:cacheHierarchy aggregatedColumn="34"/>
        </ext>
      </extLst>
    </cacheHierarchy>
    <cacheHierarchy uniqueName="[Measures].[Count of CARGO]" caption="Count of CARGO" measure="1" displayFolder="" measureGroup="DatoOrigenRRHH" count="0" hidden="1">
      <extLst>
        <ext xmlns:x15="http://schemas.microsoft.com/office/spreadsheetml/2010/11/main" uri="{B97F6D7D-B522-45F9-BDA1-12C45D357490}">
          <x15:cacheHierarchy aggregatedColumn="13"/>
        </ext>
      </extLst>
    </cacheHierarchy>
    <cacheHierarchy uniqueName="[Measures].[Sum of EDAD]" caption="Sum of EDAD" measure="1" displayFolder="" measureGroup="DatoOrigenRRHH"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name="DatoOrigenRRHH" uniqueName="[DatoOrigenRRHH]" caption="DatoOrigenRRHH"/>
    <dimension measure="1" name="Measures" uniqueName="[Measures]" caption="Measures"/>
  </dimensions>
  <measureGroups count="2">
    <measureGroup name="Calendar" caption="Calendar"/>
    <measureGroup name="DatoOrigenRRHH" caption="DatoOrigenRRHH"/>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zarous" refreshedDate="45883.482804398147" createdVersion="5" refreshedVersion="8" minRefreshableVersion="3" recordCount="0" supportSubquery="1" supportAdvancedDrill="1" xr:uid="{795666E0-53D2-46DF-9011-CE3E02CA04DA}">
  <cacheSource type="external" connectionId="3"/>
  <cacheFields count="2">
    <cacheField name="[Measures].[Hombres]" caption="Hombres" numFmtId="0" hierarchy="41" level="32767"/>
    <cacheField name="[Calendar].[Mes2].[Mes2]" caption="Mes2" numFmtId="0" hierarchy="4" level="1">
      <sharedItems containsSemiMixedTypes="0" containsNonDate="0" containsString="0"/>
    </cacheField>
  </cacheFields>
  <cacheHierarchies count="53">
    <cacheHierarchy uniqueName="[Calendar].[Date]" caption="Date" attribute="1" time="1" keyAttribute="1" defaultMemberUniqueName="[Calendar].[Date].[All]" allUniqueName="[Calendar].[Date].[All]" dimensionUniqueName="[Calendar]" displayFolder="" count="0" memberValueDatatype="7" unbalanced="0"/>
    <cacheHierarchy uniqueName="[Calendar].[Año2]" caption="Año2" attribute="1" time="1" defaultMemberUniqueName="[Calendar].[Año2].[All]" allUniqueName="[Calendar].[Año2].[All]" dimensionUniqueName="[Calendar]" displayFolder="" count="2" memberValueDatatype="20" unbalanced="0"/>
    <cacheHierarchy uniqueName="[Calendar].[Date Hierarchy]" caption="Date Hierarchy" time="1" defaultMemberUniqueName="[Calendar].[Date Hierarchy].[All]" allUniqueName="[Calendar].[Date Hierarchy].[All]" dimensionUniqueName="[Calendar]" displayFolder="" count="0" unbalanced="0"/>
    <cacheHierarchy uniqueName="[Calendar].[Numero Mes]" caption="Numero Mes" attribute="1" time="1" defaultMemberUniqueName="[Calendar].[Numero Mes].[All]" allUniqueName="[Calendar].[Numero Mes].[All]" dimensionUniqueName="[Calendar]" displayFolder="" count="0" memberValueDatatype="20" unbalanced="0"/>
    <cacheHierarchy uniqueName="[Calendar].[Mes2]" caption="Mes2" attribute="1" time="1" defaultMemberUniqueName="[Calendar].[Mes2].[All]" allUniqueName="[Calendar].[Mes2].[All]" dimensionUniqueName="[Calendar]" displayFolder="" count="2" memberValueDatatype="130" unbalanced="0">
      <fieldsUsage count="2">
        <fieldUsage x="-1"/>
        <fieldUsage x="1"/>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Num Dia]" caption="Num Dia" attribute="1" time="1" defaultMemberUniqueName="[Calendar].[Num Dia].[All]" allUniqueName="[Calendar].[Num Dia].[All]" dimensionUniqueName="[Calendar]" displayFolder="" count="0" memberValueDatatype="20" unbalanced="0"/>
    <cacheHierarchy uniqueName="[Calendar].[Dia de Semana]" caption="Dia de Semana" attribute="1" time="1" defaultMemberUniqueName="[Calendar].[Dia de Semana].[All]" allUniqueName="[Calendar].[Dia de Semana].[All]" dimensionUniqueName="[Calendar]" displayFolder="" count="0" memberValueDatatype="130" unbalanced="0"/>
    <cacheHierarchy uniqueName="[Calendar].[Dia2]" caption="Dia2" attribute="1" time="1" defaultMemberUniqueName="[Calendar].[Dia2].[All]" allUniqueName="[Calendar].[Dia2].[All]" dimensionUniqueName="[Calendar]" displayFolder="" count="0" memberValueDatatype="130" unbalanced="0"/>
    <cacheHierarchy uniqueName="[DatoOrigenRRHH].[DOCUMENTO]" caption="DOCUMENTO" attribute="1" defaultMemberUniqueName="[DatoOrigenRRHH].[DOCUMENTO].[All]" allUniqueName="[DatoOrigenRRHH].[DOCUMENTO].[All]" dimensionUniqueName="[DatoOrigenRRHH]" displayFolder="" count="0" memberValueDatatype="5" unbalanced="0"/>
    <cacheHierarchy uniqueName="[DatoOrigenRRHH].[NOMBRE COMPLETO]" caption="NOMBRE COMPLETO" attribute="1" defaultMemberUniqueName="[DatoOrigenRRHH].[NOMBRE COMPLETO].[All]" allUniqueName="[DatoOrigenRRHH].[NOMBRE COMPLETO].[All]" dimensionUniqueName="[DatoOrigenRRHH]" displayFolder="" count="0" memberValueDatatype="130" unbalanced="0"/>
    <cacheHierarchy uniqueName="[DatoOrigenRRHH].[GENERO]" caption="GENERO" attribute="1" defaultMemberUniqueName="[DatoOrigenRRHH].[GENERO].[All]" allUniqueName="[DatoOrigenRRHH].[GENERO].[All]" dimensionUniqueName="[DatoOrigenRRHH]" displayFolder="" count="0" memberValueDatatype="130" unbalanced="0"/>
    <cacheHierarchy uniqueName="[DatoOrigenRRHH].[AREA]" caption="AREA" attribute="1" defaultMemberUniqueName="[DatoOrigenRRHH].[AREA].[All]" allUniqueName="[DatoOrigenRRHH].[AREA].[All]" dimensionUniqueName="[DatoOrigenRRHH]" displayFolder="" count="0" memberValueDatatype="130" unbalanced="0"/>
    <cacheHierarchy uniqueName="[DatoOrigenRRHH].[CARGO]" caption="CARGO" attribute="1" defaultMemberUniqueName="[DatoOrigenRRHH].[CARGO].[All]" allUniqueName="[DatoOrigenRRHH].[CARGO].[All]" dimensionUniqueName="[DatoOrigenRRHH]" displayFolder="" count="0" memberValueDatatype="130" unbalanced="0"/>
    <cacheHierarchy uniqueName="[DatoOrigenRRHH].[SEDE]" caption="SEDE" attribute="1" defaultMemberUniqueName="[DatoOrigenRRHH].[SEDE].[All]" allUniqueName="[DatoOrigenRRHH].[SEDE].[All]" dimensionUniqueName="[DatoOrigenRRHH]" displayFolder="" count="0" memberValueDatatype="130" unbalanced="0"/>
    <cacheHierarchy uniqueName="[DatoOrigenRRHH].[SALARIO BÁSICO]" caption="SALARIO BÁSICO" attribute="1" defaultMemberUniqueName="[DatoOrigenRRHH].[SALARIO BÁSICO].[All]" allUniqueName="[DatoOrigenRRHH].[SALARIO BÁSICO].[All]" dimensionUniqueName="[DatoOrigenRRHH]" displayFolder="" count="0" memberValueDatatype="5" unbalanced="0"/>
    <cacheHierarchy uniqueName="[DatoOrigenRRHH].[COMISION]" caption="COMISION" attribute="1" defaultMemberUniqueName="[DatoOrigenRRHH].[COMISION].[All]" allUniqueName="[DatoOrigenRRHH].[COMISION].[All]" dimensionUniqueName="[DatoOrigenRRHH]" displayFolder="" count="0" memberValueDatatype="20" unbalanced="0"/>
    <cacheHierarchy uniqueName="[DatoOrigenRRHH].[PROMEDIO DEVENGADO MENSUAL]" caption="PROMEDIO DEVENGADO MENSUAL" attribute="1" defaultMemberUniqueName="[DatoOrigenRRHH].[PROMEDIO DEVENGADO MENSUAL].[All]" allUniqueName="[DatoOrigenRRHH].[PROMEDIO DEVENGADO MENSUAL].[All]" dimensionUniqueName="[DatoOrigenRRHH]" displayFolder="" count="0" memberValueDatatype="5" unbalanced="0"/>
    <cacheHierarchy uniqueName="[DatoOrigenRRHH].[EPS]" caption="EPS" attribute="1" defaultMemberUniqueName="[DatoOrigenRRHH].[EPS].[All]" allUniqueName="[DatoOrigenRRHH].[EPS].[All]" dimensionUniqueName="[DatoOrigenRRHH]" displayFolder="" count="0" memberValueDatatype="130" unbalanced="0"/>
    <cacheHierarchy uniqueName="[DatoOrigenRRHH].[AFP]" caption="AFP" attribute="1" defaultMemberUniqueName="[DatoOrigenRRHH].[AFP].[All]" allUniqueName="[DatoOrigenRRHH].[AFP].[All]" dimensionUniqueName="[DatoOrigenRRHH]" displayFolder="" count="0" memberValueDatatype="130" unbalanced="0"/>
    <cacheHierarchy uniqueName="[DatoOrigenRRHH].[FECHA DE NACIMIENTO]" caption="FECHA DE NACIMIENTO" attribute="1" time="1" defaultMemberUniqueName="[DatoOrigenRRHH].[FECHA DE NACIMIENTO].[All]" allUniqueName="[DatoOrigenRRHH].[FECHA DE NACIMIENTO].[All]" dimensionUniqueName="[DatoOrigenRRHH]" displayFolder="" count="0" memberValueDatatype="7" unbalanced="0"/>
    <cacheHierarchy uniqueName="[DatoOrigenRRHH].[EDAD]" caption="EDAD" attribute="1" defaultMemberUniqueName="[DatoOrigenRRHH].[EDAD].[All]" allUniqueName="[DatoOrigenRRHH].[EDAD].[All]" dimensionUniqueName="[DatoOrigenRRHH]" displayFolder="" count="0" memberValueDatatype="20" unbalanced="0"/>
    <cacheHierarchy uniqueName="[DatoOrigenRRHH].[DIRECCION]" caption="DIRECCION" attribute="1" defaultMemberUniqueName="[DatoOrigenRRHH].[DIRECCION].[All]" allUniqueName="[DatoOrigenRRHH].[DIRECCION].[All]" dimensionUniqueName="[DatoOrigenRRHH]" displayFolder="" count="0" memberValueDatatype="130" unbalanced="0"/>
    <cacheHierarchy uniqueName="[DatoOrigenRRHH].[MUNICIPIO]" caption="MUNICIPIO" attribute="1" defaultMemberUniqueName="[DatoOrigenRRHH].[MUNICIPIO].[All]" allUniqueName="[DatoOrigenRRHH].[MUNICIPIO].[All]" dimensionUniqueName="[DatoOrigenRRHH]" displayFolder="" count="0" memberValueDatatype="130" unbalanced="0"/>
    <cacheHierarchy uniqueName="[DatoOrigenRRHH].[HIJOS]" caption="HIJOS" attribute="1" defaultMemberUniqueName="[DatoOrigenRRHH].[HIJOS].[All]" allUniqueName="[DatoOrigenRRHH].[HIJOS].[All]" dimensionUniqueName="[DatoOrigenRRHH]" displayFolder="" count="0" memberValueDatatype="130" unbalanced="0"/>
    <cacheHierarchy uniqueName="[DatoOrigenRRHH].[FECHA DE INGRESO DD/MM/AAAA]" caption="FECHA DE INGRESO DD/MM/AAAA" attribute="1" time="1" defaultMemberUniqueName="[DatoOrigenRRHH].[FECHA DE INGRESO DD/MM/AAAA].[All]" allUniqueName="[DatoOrigenRRHH].[FECHA DE INGRESO DD/MM/AAAA].[All]" dimensionUniqueName="[DatoOrigenRRHH]" displayFolder="" count="0" memberValueDatatype="7" unbalanced="0"/>
    <cacheHierarchy uniqueName="[DatoOrigenRRHH].[FECHA DE SALIDA DD/MM/AAAA]" caption="FECHA DE SALIDA DD/MM/AAAA" attribute="1" time="1" defaultMemberUniqueName="[DatoOrigenRRHH].[FECHA DE SALIDA DD/MM/AAAA].[All]" allUniqueName="[DatoOrigenRRHH].[FECHA DE SALIDA DD/MM/AAAA].[All]" dimensionUniqueName="[DatoOrigenRRHH]" displayFolder="" count="0" memberValueDatatype="7" unbalanced="0"/>
    <cacheHierarchy uniqueName="[DatoOrigenRRHH].[TIPO DE CONTRATO]" caption="TIPO DE CONTRATO" attribute="1" defaultMemberUniqueName="[DatoOrigenRRHH].[TIPO DE CONTRATO].[All]" allUniqueName="[DatoOrigenRRHH].[TIPO DE CONTRATO].[All]" dimensionUniqueName="[DatoOrigenRRHH]" displayFolder="" count="0" memberValueDatatype="130" unbalanced="0"/>
    <cacheHierarchy uniqueName="[DatoOrigenRRHH].[ANTIGUEDAD AÑOS]" caption="ANTIGUEDAD AÑOS" attribute="1" defaultMemberUniqueName="[DatoOrigenRRHH].[ANTIGUEDAD AÑOS].[All]" allUniqueName="[DatoOrigenRRHH].[ANTIGUEDAD AÑOS].[All]" dimensionUniqueName="[DatoOrigenRRHH]" displayFolder="" count="0" memberValueDatatype="5" unbalanced="0"/>
    <cacheHierarchy uniqueName="[DatoOrigenRRHH].[NIVEL EDUCATIVO]" caption="NIVEL EDUCATIVO" attribute="1" defaultMemberUniqueName="[DatoOrigenRRHH].[NIVEL EDUCATIVO].[All]" allUniqueName="[DatoOrigenRRHH].[NIVEL EDUCATIVO].[All]" dimensionUniqueName="[DatoOrigenRRHH]" displayFolder="" count="0" memberValueDatatype="130" unbalanced="0"/>
    <cacheHierarchy uniqueName="[DatoOrigenRRHH].[ESTADO]" caption="ESTADO" attribute="1" defaultMemberUniqueName="[DatoOrigenRRHH].[ESTADO].[All]" allUniqueName="[DatoOrigenRRHH].[ESTADO].[All]" dimensionUniqueName="[DatoOrigenRRHH]" displayFolder="" count="0" memberValueDatatype="130" unbalanced="0"/>
    <cacheHierarchy uniqueName="[DatoOrigenRRHH].[GRUPO EDAD]" caption="GRUPO EDAD" attribute="1" defaultMemberUniqueName="[DatoOrigenRRHH].[GRUPO EDAD].[All]" allUniqueName="[DatoOrigenRRHH].[GRUPO EDAD].[All]" dimensionUniqueName="[DatoOrigenRRHH]" displayFolder="" count="0" memberValueDatatype="130" unbalanced="0"/>
    <cacheHierarchy uniqueName="[DatoOrigenRRHH].[SEGURO DE VIDA]" caption="SEGURO DE VIDA" attribute="1" defaultMemberUniqueName="[DatoOrigenRRHH].[SEGURO DE VIDA].[All]" allUniqueName="[DatoOrigenRRHH].[SEGURO DE VIDA].[All]" dimensionUniqueName="[DatoOrigenRRHH]" displayFolder="" count="0" memberValueDatatype="130" unbalanced="0"/>
    <cacheHierarchy uniqueName="[DatoOrigenRRHH].[RANGO SALARIAL]" caption="RANGO SALARIAL" attribute="1" defaultMemberUniqueName="[DatoOrigenRRHH].[RANGO SALARIAL].[All]" allUniqueName="[DatoOrigenRRHH].[RANGO SALARIAL].[All]" dimensionUniqueName="[DatoOrigenRRHH]" displayFolder="" count="0" memberValueDatatype="130" unbalanced="0"/>
    <cacheHierarchy uniqueName="[DatoOrigenRRHH].[GENERACION]" caption="GENERACION" attribute="1" defaultMemberUniqueName="[DatoOrigenRRHH].[GENERACION].[All]" allUniqueName="[DatoOrigenRRHH].[GENERACION].[All]" dimensionUniqueName="[DatoOrigenRRHH]" displayFolder="" count="0" memberValueDatatype="130" unbalanced="0"/>
    <cacheHierarchy uniqueName="[DatoOrigenRRHH].[FECHA DE INGRESO DD/MM/AAAA (Year)]" caption="FECHA DE INGRESO DD/MM/AAAA (Year)" attribute="1" defaultMemberUniqueName="[DatoOrigenRRHH].[FECHA DE INGRESO DD/MM/AAAA (Year)].[All]" allUniqueName="[DatoOrigenRRHH].[FECHA DE INGRESO DD/MM/AAAA (Year)].[All]" dimensionUniqueName="[DatoOrigenRRHH]" displayFolder="" count="0" memberValueDatatype="130" unbalanced="0"/>
    <cacheHierarchy uniqueName="[DatoOrigenRRHH].[FECHA DE INGRESO DD/MM/AAAA (Quarter)]" caption="FECHA DE INGRESO DD/MM/AAAA (Quarter)" attribute="1" defaultMemberUniqueName="[DatoOrigenRRHH].[FECHA DE INGRESO DD/MM/AAAA (Quarter)].[All]" allUniqueName="[DatoOrigenRRHH].[FECHA DE INGRESO DD/MM/AAAA (Quarter)].[All]" dimensionUniqueName="[DatoOrigenRRHH]" displayFolder="" count="0" memberValueDatatype="130" unbalanced="0"/>
    <cacheHierarchy uniqueName="[DatoOrigenRRHH].[FECHA DE INGRESO DD/MM/AAAA (Month)]" caption="FECHA DE INGRESO DD/MM/AAAA (Month)" attribute="1" defaultMemberUniqueName="[DatoOrigenRRHH].[FECHA DE INGRESO DD/MM/AAAA (Month)].[All]" allUniqueName="[DatoOrigenRRHH].[FECHA DE INGRESO DD/MM/AAAA (Month)].[All]" dimensionUniqueName="[DatoOrigenRRHH]" displayFolder="" count="0" memberValueDatatype="130" unbalanced="0"/>
    <cacheHierarchy uniqueName="[DatoOrigenRRHH].[FECHA DE INGRESO DD/MM/AAAA (Month Index)]" caption="FECHA DE INGRESO DD/MM/AAAA (Month Index)" attribute="1" defaultMemberUniqueName="[DatoOrigenRRHH].[FECHA DE INGRESO DD/MM/AAAA (Month Index)].[All]" allUniqueName="[DatoOrigenRRHH].[FECHA DE INGRESO DD/MM/AAAA (Month Index)].[All]" dimensionUniqueName="[DatoOrigenRRHH]" displayFolder="" count="0" memberValueDatatype="20" unbalanced="0" hidden="1"/>
    <cacheHierarchy uniqueName="[Measures].[Cantidad Empleados]" caption="Cantidad Emplead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oneField="1">
      <fieldsUsage count="1">
        <fieldUsage x="0"/>
      </fieldsUsage>
    </cacheHierarchy>
    <cacheHierarchy uniqueName="[Measures].[Cantidad Inactivos]" caption="Cantidad Inactivos" measure="1" displayFolder="" measureGroup="DatoOrigenRRHH" count="0"/>
    <cacheHierarchy uniqueName="[Measures].[Cantidad Activos]" caption="Cantidad Activ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cacheHierarchy uniqueName="[Measures].[Total Empleados]" caption="Total Empleados" measure="1" displayFolder="" measureGroup="DatoOrigenRRHH" count="0"/>
    <cacheHierarchy uniqueName="[Measures].[__XL_Count DatoOrigenRRHH]" caption="__XL_Count DatoOrigenRRHH" measure="1" displayFolder="" measureGroup="DatoOrigenRRHH"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GENERACION]" caption="Count of GENERACION" measure="1" displayFolder="" measureGroup="DatoOrigenRRHH" count="0" hidden="1">
      <extLst>
        <ext xmlns:x15="http://schemas.microsoft.com/office/spreadsheetml/2010/11/main" uri="{B97F6D7D-B522-45F9-BDA1-12C45D357490}">
          <x15:cacheHierarchy aggregatedColumn="34"/>
        </ext>
      </extLst>
    </cacheHierarchy>
    <cacheHierarchy uniqueName="[Measures].[Count of CARGO]" caption="Count of CARGO" measure="1" displayFolder="" measureGroup="DatoOrigenRRHH" count="0" hidden="1">
      <extLst>
        <ext xmlns:x15="http://schemas.microsoft.com/office/spreadsheetml/2010/11/main" uri="{B97F6D7D-B522-45F9-BDA1-12C45D357490}">
          <x15:cacheHierarchy aggregatedColumn="13"/>
        </ext>
      </extLst>
    </cacheHierarchy>
    <cacheHierarchy uniqueName="[Measures].[Sum of EDAD]" caption="Sum of EDAD" measure="1" displayFolder="" measureGroup="DatoOrigenRRHH"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name="DatoOrigenRRHH" uniqueName="[DatoOrigenRRHH]" caption="DatoOrigenRRHH"/>
    <dimension measure="1" name="Measures" uniqueName="[Measures]" caption="Measures"/>
  </dimensions>
  <measureGroups count="2">
    <measureGroup name="Calendar" caption="Calendar"/>
    <measureGroup name="DatoOrigenRRHH" caption="DatoOrigenRRHH"/>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zarous" refreshedDate="45883.482804513886" createdVersion="5" refreshedVersion="8" minRefreshableVersion="3" recordCount="0" supportSubquery="1" supportAdvancedDrill="1" xr:uid="{62AEBF02-F6F3-44BA-9F60-B3E7B2B6664A}">
  <cacheSource type="external" connectionId="3"/>
  <cacheFields count="2">
    <cacheField name="[Measures].[Cantidad Inactivos]" caption="Cantidad Inactivos" numFmtId="0" hierarchy="42" level="32767"/>
    <cacheField name="[Calendar].[Mes2].[Mes2]" caption="Mes2" numFmtId="0" hierarchy="4" level="1">
      <sharedItems containsSemiMixedTypes="0" containsNonDate="0" containsString="0"/>
    </cacheField>
  </cacheFields>
  <cacheHierarchies count="53">
    <cacheHierarchy uniqueName="[Calendar].[Date]" caption="Date" attribute="1" time="1" keyAttribute="1" defaultMemberUniqueName="[Calendar].[Date].[All]" allUniqueName="[Calendar].[Date].[All]" dimensionUniqueName="[Calendar]" displayFolder="" count="0" memberValueDatatype="7" unbalanced="0"/>
    <cacheHierarchy uniqueName="[Calendar].[Año2]" caption="Año2" attribute="1" time="1" defaultMemberUniqueName="[Calendar].[Año2].[All]" allUniqueName="[Calendar].[Año2].[All]" dimensionUniqueName="[Calendar]" displayFolder="" count="2" memberValueDatatype="20" unbalanced="0"/>
    <cacheHierarchy uniqueName="[Calendar].[Date Hierarchy]" caption="Date Hierarchy" time="1" defaultMemberUniqueName="[Calendar].[Date Hierarchy].[All]" allUniqueName="[Calendar].[Date Hierarchy].[All]" dimensionUniqueName="[Calendar]" displayFolder="" count="0" unbalanced="0"/>
    <cacheHierarchy uniqueName="[Calendar].[Numero Mes]" caption="Numero Mes" attribute="1" time="1" defaultMemberUniqueName="[Calendar].[Numero Mes].[All]" allUniqueName="[Calendar].[Numero Mes].[All]" dimensionUniqueName="[Calendar]" displayFolder="" count="0" memberValueDatatype="20" unbalanced="0"/>
    <cacheHierarchy uniqueName="[Calendar].[Mes2]" caption="Mes2" attribute="1" time="1" defaultMemberUniqueName="[Calendar].[Mes2].[All]" allUniqueName="[Calendar].[Mes2].[All]" dimensionUniqueName="[Calendar]" displayFolder="" count="2" memberValueDatatype="130" unbalanced="0">
      <fieldsUsage count="2">
        <fieldUsage x="-1"/>
        <fieldUsage x="1"/>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Num Dia]" caption="Num Dia" attribute="1" time="1" defaultMemberUniqueName="[Calendar].[Num Dia].[All]" allUniqueName="[Calendar].[Num Dia].[All]" dimensionUniqueName="[Calendar]" displayFolder="" count="0" memberValueDatatype="20" unbalanced="0"/>
    <cacheHierarchy uniqueName="[Calendar].[Dia de Semana]" caption="Dia de Semana" attribute="1" time="1" defaultMemberUniqueName="[Calendar].[Dia de Semana].[All]" allUniqueName="[Calendar].[Dia de Semana].[All]" dimensionUniqueName="[Calendar]" displayFolder="" count="0" memberValueDatatype="130" unbalanced="0"/>
    <cacheHierarchy uniqueName="[Calendar].[Dia2]" caption="Dia2" attribute="1" time="1" defaultMemberUniqueName="[Calendar].[Dia2].[All]" allUniqueName="[Calendar].[Dia2].[All]" dimensionUniqueName="[Calendar]" displayFolder="" count="0" memberValueDatatype="130" unbalanced="0"/>
    <cacheHierarchy uniqueName="[DatoOrigenRRHH].[DOCUMENTO]" caption="DOCUMENTO" attribute="1" defaultMemberUniqueName="[DatoOrigenRRHH].[DOCUMENTO].[All]" allUniqueName="[DatoOrigenRRHH].[DOCUMENTO].[All]" dimensionUniqueName="[DatoOrigenRRHH]" displayFolder="" count="0" memberValueDatatype="5" unbalanced="0"/>
    <cacheHierarchy uniqueName="[DatoOrigenRRHH].[NOMBRE COMPLETO]" caption="NOMBRE COMPLETO" attribute="1" defaultMemberUniqueName="[DatoOrigenRRHH].[NOMBRE COMPLETO].[All]" allUniqueName="[DatoOrigenRRHH].[NOMBRE COMPLETO].[All]" dimensionUniqueName="[DatoOrigenRRHH]" displayFolder="" count="0" memberValueDatatype="130" unbalanced="0"/>
    <cacheHierarchy uniqueName="[DatoOrigenRRHH].[GENERO]" caption="GENERO" attribute="1" defaultMemberUniqueName="[DatoOrigenRRHH].[GENERO].[All]" allUniqueName="[DatoOrigenRRHH].[GENERO].[All]" dimensionUniqueName="[DatoOrigenRRHH]" displayFolder="" count="0" memberValueDatatype="130" unbalanced="0"/>
    <cacheHierarchy uniqueName="[DatoOrigenRRHH].[AREA]" caption="AREA" attribute="1" defaultMemberUniqueName="[DatoOrigenRRHH].[AREA].[All]" allUniqueName="[DatoOrigenRRHH].[AREA].[All]" dimensionUniqueName="[DatoOrigenRRHH]" displayFolder="" count="0" memberValueDatatype="130" unbalanced="0"/>
    <cacheHierarchy uniqueName="[DatoOrigenRRHH].[CARGO]" caption="CARGO" attribute="1" defaultMemberUniqueName="[DatoOrigenRRHH].[CARGO].[All]" allUniqueName="[DatoOrigenRRHH].[CARGO].[All]" dimensionUniqueName="[DatoOrigenRRHH]" displayFolder="" count="0" memberValueDatatype="130" unbalanced="0"/>
    <cacheHierarchy uniqueName="[DatoOrigenRRHH].[SEDE]" caption="SEDE" attribute="1" defaultMemberUniqueName="[DatoOrigenRRHH].[SEDE].[All]" allUniqueName="[DatoOrigenRRHH].[SEDE].[All]" dimensionUniqueName="[DatoOrigenRRHH]" displayFolder="" count="0" memberValueDatatype="130" unbalanced="0"/>
    <cacheHierarchy uniqueName="[DatoOrigenRRHH].[SALARIO BÁSICO]" caption="SALARIO BÁSICO" attribute="1" defaultMemberUniqueName="[DatoOrigenRRHH].[SALARIO BÁSICO].[All]" allUniqueName="[DatoOrigenRRHH].[SALARIO BÁSICO].[All]" dimensionUniqueName="[DatoOrigenRRHH]" displayFolder="" count="0" memberValueDatatype="5" unbalanced="0"/>
    <cacheHierarchy uniqueName="[DatoOrigenRRHH].[COMISION]" caption="COMISION" attribute="1" defaultMemberUniqueName="[DatoOrigenRRHH].[COMISION].[All]" allUniqueName="[DatoOrigenRRHH].[COMISION].[All]" dimensionUniqueName="[DatoOrigenRRHH]" displayFolder="" count="0" memberValueDatatype="20" unbalanced="0"/>
    <cacheHierarchy uniqueName="[DatoOrigenRRHH].[PROMEDIO DEVENGADO MENSUAL]" caption="PROMEDIO DEVENGADO MENSUAL" attribute="1" defaultMemberUniqueName="[DatoOrigenRRHH].[PROMEDIO DEVENGADO MENSUAL].[All]" allUniqueName="[DatoOrigenRRHH].[PROMEDIO DEVENGADO MENSUAL].[All]" dimensionUniqueName="[DatoOrigenRRHH]" displayFolder="" count="0" memberValueDatatype="5" unbalanced="0"/>
    <cacheHierarchy uniqueName="[DatoOrigenRRHH].[EPS]" caption="EPS" attribute="1" defaultMemberUniqueName="[DatoOrigenRRHH].[EPS].[All]" allUniqueName="[DatoOrigenRRHH].[EPS].[All]" dimensionUniqueName="[DatoOrigenRRHH]" displayFolder="" count="0" memberValueDatatype="130" unbalanced="0"/>
    <cacheHierarchy uniqueName="[DatoOrigenRRHH].[AFP]" caption="AFP" attribute="1" defaultMemberUniqueName="[DatoOrigenRRHH].[AFP].[All]" allUniqueName="[DatoOrigenRRHH].[AFP].[All]" dimensionUniqueName="[DatoOrigenRRHH]" displayFolder="" count="0" memberValueDatatype="130" unbalanced="0"/>
    <cacheHierarchy uniqueName="[DatoOrigenRRHH].[FECHA DE NACIMIENTO]" caption="FECHA DE NACIMIENTO" attribute="1" time="1" defaultMemberUniqueName="[DatoOrigenRRHH].[FECHA DE NACIMIENTO].[All]" allUniqueName="[DatoOrigenRRHH].[FECHA DE NACIMIENTO].[All]" dimensionUniqueName="[DatoOrigenRRHH]" displayFolder="" count="0" memberValueDatatype="7" unbalanced="0"/>
    <cacheHierarchy uniqueName="[DatoOrigenRRHH].[EDAD]" caption="EDAD" attribute="1" defaultMemberUniqueName="[DatoOrigenRRHH].[EDAD].[All]" allUniqueName="[DatoOrigenRRHH].[EDAD].[All]" dimensionUniqueName="[DatoOrigenRRHH]" displayFolder="" count="0" memberValueDatatype="20" unbalanced="0"/>
    <cacheHierarchy uniqueName="[DatoOrigenRRHH].[DIRECCION]" caption="DIRECCION" attribute="1" defaultMemberUniqueName="[DatoOrigenRRHH].[DIRECCION].[All]" allUniqueName="[DatoOrigenRRHH].[DIRECCION].[All]" dimensionUniqueName="[DatoOrigenRRHH]" displayFolder="" count="0" memberValueDatatype="130" unbalanced="0"/>
    <cacheHierarchy uniqueName="[DatoOrigenRRHH].[MUNICIPIO]" caption="MUNICIPIO" attribute="1" defaultMemberUniqueName="[DatoOrigenRRHH].[MUNICIPIO].[All]" allUniqueName="[DatoOrigenRRHH].[MUNICIPIO].[All]" dimensionUniqueName="[DatoOrigenRRHH]" displayFolder="" count="0" memberValueDatatype="130" unbalanced="0"/>
    <cacheHierarchy uniqueName="[DatoOrigenRRHH].[HIJOS]" caption="HIJOS" attribute="1" defaultMemberUniqueName="[DatoOrigenRRHH].[HIJOS].[All]" allUniqueName="[DatoOrigenRRHH].[HIJOS].[All]" dimensionUniqueName="[DatoOrigenRRHH]" displayFolder="" count="0" memberValueDatatype="130" unbalanced="0"/>
    <cacheHierarchy uniqueName="[DatoOrigenRRHH].[FECHA DE INGRESO DD/MM/AAAA]" caption="FECHA DE INGRESO DD/MM/AAAA" attribute="1" time="1" defaultMemberUniqueName="[DatoOrigenRRHH].[FECHA DE INGRESO DD/MM/AAAA].[All]" allUniqueName="[DatoOrigenRRHH].[FECHA DE INGRESO DD/MM/AAAA].[All]" dimensionUniqueName="[DatoOrigenRRHH]" displayFolder="" count="0" memberValueDatatype="7" unbalanced="0"/>
    <cacheHierarchy uniqueName="[DatoOrigenRRHH].[FECHA DE SALIDA DD/MM/AAAA]" caption="FECHA DE SALIDA DD/MM/AAAA" attribute="1" time="1" defaultMemberUniqueName="[DatoOrigenRRHH].[FECHA DE SALIDA DD/MM/AAAA].[All]" allUniqueName="[DatoOrigenRRHH].[FECHA DE SALIDA DD/MM/AAAA].[All]" dimensionUniqueName="[DatoOrigenRRHH]" displayFolder="" count="0" memberValueDatatype="7" unbalanced="0"/>
    <cacheHierarchy uniqueName="[DatoOrigenRRHH].[TIPO DE CONTRATO]" caption="TIPO DE CONTRATO" attribute="1" defaultMemberUniqueName="[DatoOrigenRRHH].[TIPO DE CONTRATO].[All]" allUniqueName="[DatoOrigenRRHH].[TIPO DE CONTRATO].[All]" dimensionUniqueName="[DatoOrigenRRHH]" displayFolder="" count="0" memberValueDatatype="130" unbalanced="0"/>
    <cacheHierarchy uniqueName="[DatoOrigenRRHH].[ANTIGUEDAD AÑOS]" caption="ANTIGUEDAD AÑOS" attribute="1" defaultMemberUniqueName="[DatoOrigenRRHH].[ANTIGUEDAD AÑOS].[All]" allUniqueName="[DatoOrigenRRHH].[ANTIGUEDAD AÑOS].[All]" dimensionUniqueName="[DatoOrigenRRHH]" displayFolder="" count="0" memberValueDatatype="5" unbalanced="0"/>
    <cacheHierarchy uniqueName="[DatoOrigenRRHH].[NIVEL EDUCATIVO]" caption="NIVEL EDUCATIVO" attribute="1" defaultMemberUniqueName="[DatoOrigenRRHH].[NIVEL EDUCATIVO].[All]" allUniqueName="[DatoOrigenRRHH].[NIVEL EDUCATIVO].[All]" dimensionUniqueName="[DatoOrigenRRHH]" displayFolder="" count="0" memberValueDatatype="130" unbalanced="0"/>
    <cacheHierarchy uniqueName="[DatoOrigenRRHH].[ESTADO]" caption="ESTADO" attribute="1" defaultMemberUniqueName="[DatoOrigenRRHH].[ESTADO].[All]" allUniqueName="[DatoOrigenRRHH].[ESTADO].[All]" dimensionUniqueName="[DatoOrigenRRHH]" displayFolder="" count="0" memberValueDatatype="130" unbalanced="0"/>
    <cacheHierarchy uniqueName="[DatoOrigenRRHH].[GRUPO EDAD]" caption="GRUPO EDAD" attribute="1" defaultMemberUniqueName="[DatoOrigenRRHH].[GRUPO EDAD].[All]" allUniqueName="[DatoOrigenRRHH].[GRUPO EDAD].[All]" dimensionUniqueName="[DatoOrigenRRHH]" displayFolder="" count="0" memberValueDatatype="130" unbalanced="0"/>
    <cacheHierarchy uniqueName="[DatoOrigenRRHH].[SEGURO DE VIDA]" caption="SEGURO DE VIDA" attribute="1" defaultMemberUniqueName="[DatoOrigenRRHH].[SEGURO DE VIDA].[All]" allUniqueName="[DatoOrigenRRHH].[SEGURO DE VIDA].[All]" dimensionUniqueName="[DatoOrigenRRHH]" displayFolder="" count="0" memberValueDatatype="130" unbalanced="0"/>
    <cacheHierarchy uniqueName="[DatoOrigenRRHH].[RANGO SALARIAL]" caption="RANGO SALARIAL" attribute="1" defaultMemberUniqueName="[DatoOrigenRRHH].[RANGO SALARIAL].[All]" allUniqueName="[DatoOrigenRRHH].[RANGO SALARIAL].[All]" dimensionUniqueName="[DatoOrigenRRHH]" displayFolder="" count="0" memberValueDatatype="130" unbalanced="0"/>
    <cacheHierarchy uniqueName="[DatoOrigenRRHH].[GENERACION]" caption="GENERACION" attribute="1" defaultMemberUniqueName="[DatoOrigenRRHH].[GENERACION].[All]" allUniqueName="[DatoOrigenRRHH].[GENERACION].[All]" dimensionUniqueName="[DatoOrigenRRHH]" displayFolder="" count="0" memberValueDatatype="130" unbalanced="0"/>
    <cacheHierarchy uniqueName="[DatoOrigenRRHH].[FECHA DE INGRESO DD/MM/AAAA (Year)]" caption="FECHA DE INGRESO DD/MM/AAAA (Year)" attribute="1" defaultMemberUniqueName="[DatoOrigenRRHH].[FECHA DE INGRESO DD/MM/AAAA (Year)].[All]" allUniqueName="[DatoOrigenRRHH].[FECHA DE INGRESO DD/MM/AAAA (Year)].[All]" dimensionUniqueName="[DatoOrigenRRHH]" displayFolder="" count="0" memberValueDatatype="130" unbalanced="0"/>
    <cacheHierarchy uniqueName="[DatoOrigenRRHH].[FECHA DE INGRESO DD/MM/AAAA (Quarter)]" caption="FECHA DE INGRESO DD/MM/AAAA (Quarter)" attribute="1" defaultMemberUniqueName="[DatoOrigenRRHH].[FECHA DE INGRESO DD/MM/AAAA (Quarter)].[All]" allUniqueName="[DatoOrigenRRHH].[FECHA DE INGRESO DD/MM/AAAA (Quarter)].[All]" dimensionUniqueName="[DatoOrigenRRHH]" displayFolder="" count="0" memberValueDatatype="130" unbalanced="0"/>
    <cacheHierarchy uniqueName="[DatoOrigenRRHH].[FECHA DE INGRESO DD/MM/AAAA (Month)]" caption="FECHA DE INGRESO DD/MM/AAAA (Month)" attribute="1" defaultMemberUniqueName="[DatoOrigenRRHH].[FECHA DE INGRESO DD/MM/AAAA (Month)].[All]" allUniqueName="[DatoOrigenRRHH].[FECHA DE INGRESO DD/MM/AAAA (Month)].[All]" dimensionUniqueName="[DatoOrigenRRHH]" displayFolder="" count="0" memberValueDatatype="130" unbalanced="0"/>
    <cacheHierarchy uniqueName="[DatoOrigenRRHH].[FECHA DE INGRESO DD/MM/AAAA (Month Index)]" caption="FECHA DE INGRESO DD/MM/AAAA (Month Index)" attribute="1" defaultMemberUniqueName="[DatoOrigenRRHH].[FECHA DE INGRESO DD/MM/AAAA (Month Index)].[All]" allUniqueName="[DatoOrigenRRHH].[FECHA DE INGRESO DD/MM/AAAA (Month Index)].[All]" dimensionUniqueName="[DatoOrigenRRHH]" displayFolder="" count="0" memberValueDatatype="20" unbalanced="0" hidden="1"/>
    <cacheHierarchy uniqueName="[Measures].[Cantidad Empleados]" caption="Cantidad Emplead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cacheHierarchy uniqueName="[Measures].[Cantidad Inactivos]" caption="Cantidad Inactivos" measure="1" displayFolder="" measureGroup="DatoOrigenRRHH" count="0" oneField="1">
      <fieldsUsage count="1">
        <fieldUsage x="0"/>
      </fieldsUsage>
    </cacheHierarchy>
    <cacheHierarchy uniqueName="[Measures].[Cantidad Activos]" caption="Cantidad Activ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cacheHierarchy uniqueName="[Measures].[Total Empleados]" caption="Total Empleados" measure="1" displayFolder="" measureGroup="DatoOrigenRRHH" count="0"/>
    <cacheHierarchy uniqueName="[Measures].[__XL_Count DatoOrigenRRHH]" caption="__XL_Count DatoOrigenRRHH" measure="1" displayFolder="" measureGroup="DatoOrigenRRHH"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GENERACION]" caption="Count of GENERACION" measure="1" displayFolder="" measureGroup="DatoOrigenRRHH" count="0" hidden="1">
      <extLst>
        <ext xmlns:x15="http://schemas.microsoft.com/office/spreadsheetml/2010/11/main" uri="{B97F6D7D-B522-45F9-BDA1-12C45D357490}">
          <x15:cacheHierarchy aggregatedColumn="34"/>
        </ext>
      </extLst>
    </cacheHierarchy>
    <cacheHierarchy uniqueName="[Measures].[Count of CARGO]" caption="Count of CARGO" measure="1" displayFolder="" measureGroup="DatoOrigenRRHH" count="0" hidden="1">
      <extLst>
        <ext xmlns:x15="http://schemas.microsoft.com/office/spreadsheetml/2010/11/main" uri="{B97F6D7D-B522-45F9-BDA1-12C45D357490}">
          <x15:cacheHierarchy aggregatedColumn="13"/>
        </ext>
      </extLst>
    </cacheHierarchy>
    <cacheHierarchy uniqueName="[Measures].[Sum of EDAD]" caption="Sum of EDAD" measure="1" displayFolder="" measureGroup="DatoOrigenRRHH"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name="DatoOrigenRRHH" uniqueName="[DatoOrigenRRHH]" caption="DatoOrigenRRHH"/>
    <dimension measure="1" name="Measures" uniqueName="[Measures]" caption="Measures"/>
  </dimensions>
  <measureGroups count="2">
    <measureGroup name="Calendar" caption="Calendar"/>
    <measureGroup name="DatoOrigenRRHH" caption="DatoOrigenRRHH"/>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zarous" refreshedDate="45883.48280474537" createdVersion="5" refreshedVersion="8" minRefreshableVersion="3" recordCount="0" supportSubquery="1" supportAdvancedDrill="1" xr:uid="{7030D679-999B-4B03-9FF2-341DABB41295}">
  <cacheSource type="external" connectionId="3"/>
  <cacheFields count="2">
    <cacheField name="[Measures].[Mujeres]" caption="Mujeres" numFmtId="0" hierarchy="40" level="32767"/>
    <cacheField name="[Calendar].[Mes2].[Mes2]" caption="Mes2" numFmtId="0" hierarchy="4" level="1">
      <sharedItems containsSemiMixedTypes="0" containsNonDate="0" containsString="0"/>
    </cacheField>
  </cacheFields>
  <cacheHierarchies count="53">
    <cacheHierarchy uniqueName="[Calendar].[Date]" caption="Date" attribute="1" time="1" keyAttribute="1" defaultMemberUniqueName="[Calendar].[Date].[All]" allUniqueName="[Calendar].[Date].[All]" dimensionUniqueName="[Calendar]" displayFolder="" count="0" memberValueDatatype="7" unbalanced="0"/>
    <cacheHierarchy uniqueName="[Calendar].[Año2]" caption="Año2" attribute="1" time="1" defaultMemberUniqueName="[Calendar].[Año2].[All]" allUniqueName="[Calendar].[Año2].[All]" dimensionUniqueName="[Calendar]" displayFolder="" count="2" memberValueDatatype="20" unbalanced="0"/>
    <cacheHierarchy uniqueName="[Calendar].[Date Hierarchy]" caption="Date Hierarchy" time="1" defaultMemberUniqueName="[Calendar].[Date Hierarchy].[All]" allUniqueName="[Calendar].[Date Hierarchy].[All]" dimensionUniqueName="[Calendar]" displayFolder="" count="0" unbalanced="0"/>
    <cacheHierarchy uniqueName="[Calendar].[Numero Mes]" caption="Numero Mes" attribute="1" time="1" defaultMemberUniqueName="[Calendar].[Numero Mes].[All]" allUniqueName="[Calendar].[Numero Mes].[All]" dimensionUniqueName="[Calendar]" displayFolder="" count="0" memberValueDatatype="20" unbalanced="0"/>
    <cacheHierarchy uniqueName="[Calendar].[Mes2]" caption="Mes2" attribute="1" time="1" defaultMemberUniqueName="[Calendar].[Mes2].[All]" allUniqueName="[Calendar].[Mes2].[All]" dimensionUniqueName="[Calendar]" displayFolder="" count="2" memberValueDatatype="130" unbalanced="0">
      <fieldsUsage count="2">
        <fieldUsage x="-1"/>
        <fieldUsage x="1"/>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Num Dia]" caption="Num Dia" attribute="1" time="1" defaultMemberUniqueName="[Calendar].[Num Dia].[All]" allUniqueName="[Calendar].[Num Dia].[All]" dimensionUniqueName="[Calendar]" displayFolder="" count="0" memberValueDatatype="20" unbalanced="0"/>
    <cacheHierarchy uniqueName="[Calendar].[Dia de Semana]" caption="Dia de Semana" attribute="1" time="1" defaultMemberUniqueName="[Calendar].[Dia de Semana].[All]" allUniqueName="[Calendar].[Dia de Semana].[All]" dimensionUniqueName="[Calendar]" displayFolder="" count="0" memberValueDatatype="130" unbalanced="0"/>
    <cacheHierarchy uniqueName="[Calendar].[Dia2]" caption="Dia2" attribute="1" time="1" defaultMemberUniqueName="[Calendar].[Dia2].[All]" allUniqueName="[Calendar].[Dia2].[All]" dimensionUniqueName="[Calendar]" displayFolder="" count="0" memberValueDatatype="130" unbalanced="0"/>
    <cacheHierarchy uniqueName="[DatoOrigenRRHH].[DOCUMENTO]" caption="DOCUMENTO" attribute="1" defaultMemberUniqueName="[DatoOrigenRRHH].[DOCUMENTO].[All]" allUniqueName="[DatoOrigenRRHH].[DOCUMENTO].[All]" dimensionUniqueName="[DatoOrigenRRHH]" displayFolder="" count="0" memberValueDatatype="5" unbalanced="0"/>
    <cacheHierarchy uniqueName="[DatoOrigenRRHH].[NOMBRE COMPLETO]" caption="NOMBRE COMPLETO" attribute="1" defaultMemberUniqueName="[DatoOrigenRRHH].[NOMBRE COMPLETO].[All]" allUniqueName="[DatoOrigenRRHH].[NOMBRE COMPLETO].[All]" dimensionUniqueName="[DatoOrigenRRHH]" displayFolder="" count="0" memberValueDatatype="130" unbalanced="0"/>
    <cacheHierarchy uniqueName="[DatoOrigenRRHH].[GENERO]" caption="GENERO" attribute="1" defaultMemberUniqueName="[DatoOrigenRRHH].[GENERO].[All]" allUniqueName="[DatoOrigenRRHH].[GENERO].[All]" dimensionUniqueName="[DatoOrigenRRHH]" displayFolder="" count="0" memberValueDatatype="130" unbalanced="0"/>
    <cacheHierarchy uniqueName="[DatoOrigenRRHH].[AREA]" caption="AREA" attribute="1" defaultMemberUniqueName="[DatoOrigenRRHH].[AREA].[All]" allUniqueName="[DatoOrigenRRHH].[AREA].[All]" dimensionUniqueName="[DatoOrigenRRHH]" displayFolder="" count="0" memberValueDatatype="130" unbalanced="0"/>
    <cacheHierarchy uniqueName="[DatoOrigenRRHH].[CARGO]" caption="CARGO" attribute="1" defaultMemberUniqueName="[DatoOrigenRRHH].[CARGO].[All]" allUniqueName="[DatoOrigenRRHH].[CARGO].[All]" dimensionUniqueName="[DatoOrigenRRHH]" displayFolder="" count="0" memberValueDatatype="130" unbalanced="0"/>
    <cacheHierarchy uniqueName="[DatoOrigenRRHH].[SEDE]" caption="SEDE" attribute="1" defaultMemberUniqueName="[DatoOrigenRRHH].[SEDE].[All]" allUniqueName="[DatoOrigenRRHH].[SEDE].[All]" dimensionUniqueName="[DatoOrigenRRHH]" displayFolder="" count="0" memberValueDatatype="130" unbalanced="0"/>
    <cacheHierarchy uniqueName="[DatoOrigenRRHH].[SALARIO BÁSICO]" caption="SALARIO BÁSICO" attribute="1" defaultMemberUniqueName="[DatoOrigenRRHH].[SALARIO BÁSICO].[All]" allUniqueName="[DatoOrigenRRHH].[SALARIO BÁSICO].[All]" dimensionUniqueName="[DatoOrigenRRHH]" displayFolder="" count="0" memberValueDatatype="5" unbalanced="0"/>
    <cacheHierarchy uniqueName="[DatoOrigenRRHH].[COMISION]" caption="COMISION" attribute="1" defaultMemberUniqueName="[DatoOrigenRRHH].[COMISION].[All]" allUniqueName="[DatoOrigenRRHH].[COMISION].[All]" dimensionUniqueName="[DatoOrigenRRHH]" displayFolder="" count="0" memberValueDatatype="20" unbalanced="0"/>
    <cacheHierarchy uniqueName="[DatoOrigenRRHH].[PROMEDIO DEVENGADO MENSUAL]" caption="PROMEDIO DEVENGADO MENSUAL" attribute="1" defaultMemberUniqueName="[DatoOrigenRRHH].[PROMEDIO DEVENGADO MENSUAL].[All]" allUniqueName="[DatoOrigenRRHH].[PROMEDIO DEVENGADO MENSUAL].[All]" dimensionUniqueName="[DatoOrigenRRHH]" displayFolder="" count="0" memberValueDatatype="5" unbalanced="0"/>
    <cacheHierarchy uniqueName="[DatoOrigenRRHH].[EPS]" caption="EPS" attribute="1" defaultMemberUniqueName="[DatoOrigenRRHH].[EPS].[All]" allUniqueName="[DatoOrigenRRHH].[EPS].[All]" dimensionUniqueName="[DatoOrigenRRHH]" displayFolder="" count="0" memberValueDatatype="130" unbalanced="0"/>
    <cacheHierarchy uniqueName="[DatoOrigenRRHH].[AFP]" caption="AFP" attribute="1" defaultMemberUniqueName="[DatoOrigenRRHH].[AFP].[All]" allUniqueName="[DatoOrigenRRHH].[AFP].[All]" dimensionUniqueName="[DatoOrigenRRHH]" displayFolder="" count="0" memberValueDatatype="130" unbalanced="0"/>
    <cacheHierarchy uniqueName="[DatoOrigenRRHH].[FECHA DE NACIMIENTO]" caption="FECHA DE NACIMIENTO" attribute="1" time="1" defaultMemberUniqueName="[DatoOrigenRRHH].[FECHA DE NACIMIENTO].[All]" allUniqueName="[DatoOrigenRRHH].[FECHA DE NACIMIENTO].[All]" dimensionUniqueName="[DatoOrigenRRHH]" displayFolder="" count="0" memberValueDatatype="7" unbalanced="0"/>
    <cacheHierarchy uniqueName="[DatoOrigenRRHH].[EDAD]" caption="EDAD" attribute="1" defaultMemberUniqueName="[DatoOrigenRRHH].[EDAD].[All]" allUniqueName="[DatoOrigenRRHH].[EDAD].[All]" dimensionUniqueName="[DatoOrigenRRHH]" displayFolder="" count="0" memberValueDatatype="20" unbalanced="0"/>
    <cacheHierarchy uniqueName="[DatoOrigenRRHH].[DIRECCION]" caption="DIRECCION" attribute="1" defaultMemberUniqueName="[DatoOrigenRRHH].[DIRECCION].[All]" allUniqueName="[DatoOrigenRRHH].[DIRECCION].[All]" dimensionUniqueName="[DatoOrigenRRHH]" displayFolder="" count="0" memberValueDatatype="130" unbalanced="0"/>
    <cacheHierarchy uniqueName="[DatoOrigenRRHH].[MUNICIPIO]" caption="MUNICIPIO" attribute="1" defaultMemberUniqueName="[DatoOrigenRRHH].[MUNICIPIO].[All]" allUniqueName="[DatoOrigenRRHH].[MUNICIPIO].[All]" dimensionUniqueName="[DatoOrigenRRHH]" displayFolder="" count="0" memberValueDatatype="130" unbalanced="0"/>
    <cacheHierarchy uniqueName="[DatoOrigenRRHH].[HIJOS]" caption="HIJOS" attribute="1" defaultMemberUniqueName="[DatoOrigenRRHH].[HIJOS].[All]" allUniqueName="[DatoOrigenRRHH].[HIJOS].[All]" dimensionUniqueName="[DatoOrigenRRHH]" displayFolder="" count="0" memberValueDatatype="130" unbalanced="0"/>
    <cacheHierarchy uniqueName="[DatoOrigenRRHH].[FECHA DE INGRESO DD/MM/AAAA]" caption="FECHA DE INGRESO DD/MM/AAAA" attribute="1" time="1" defaultMemberUniqueName="[DatoOrigenRRHH].[FECHA DE INGRESO DD/MM/AAAA].[All]" allUniqueName="[DatoOrigenRRHH].[FECHA DE INGRESO DD/MM/AAAA].[All]" dimensionUniqueName="[DatoOrigenRRHH]" displayFolder="" count="0" memberValueDatatype="7" unbalanced="0"/>
    <cacheHierarchy uniqueName="[DatoOrigenRRHH].[FECHA DE SALIDA DD/MM/AAAA]" caption="FECHA DE SALIDA DD/MM/AAAA" attribute="1" time="1" defaultMemberUniqueName="[DatoOrigenRRHH].[FECHA DE SALIDA DD/MM/AAAA].[All]" allUniqueName="[DatoOrigenRRHH].[FECHA DE SALIDA DD/MM/AAAA].[All]" dimensionUniqueName="[DatoOrigenRRHH]" displayFolder="" count="0" memberValueDatatype="7" unbalanced="0"/>
    <cacheHierarchy uniqueName="[DatoOrigenRRHH].[TIPO DE CONTRATO]" caption="TIPO DE CONTRATO" attribute="1" defaultMemberUniqueName="[DatoOrigenRRHH].[TIPO DE CONTRATO].[All]" allUniqueName="[DatoOrigenRRHH].[TIPO DE CONTRATO].[All]" dimensionUniqueName="[DatoOrigenRRHH]" displayFolder="" count="0" memberValueDatatype="130" unbalanced="0"/>
    <cacheHierarchy uniqueName="[DatoOrigenRRHH].[ANTIGUEDAD AÑOS]" caption="ANTIGUEDAD AÑOS" attribute="1" defaultMemberUniqueName="[DatoOrigenRRHH].[ANTIGUEDAD AÑOS].[All]" allUniqueName="[DatoOrigenRRHH].[ANTIGUEDAD AÑOS].[All]" dimensionUniqueName="[DatoOrigenRRHH]" displayFolder="" count="0" memberValueDatatype="5" unbalanced="0"/>
    <cacheHierarchy uniqueName="[DatoOrigenRRHH].[NIVEL EDUCATIVO]" caption="NIVEL EDUCATIVO" attribute="1" defaultMemberUniqueName="[DatoOrigenRRHH].[NIVEL EDUCATIVO].[All]" allUniqueName="[DatoOrigenRRHH].[NIVEL EDUCATIVO].[All]" dimensionUniqueName="[DatoOrigenRRHH]" displayFolder="" count="0" memberValueDatatype="130" unbalanced="0"/>
    <cacheHierarchy uniqueName="[DatoOrigenRRHH].[ESTADO]" caption="ESTADO" attribute="1" defaultMemberUniqueName="[DatoOrigenRRHH].[ESTADO].[All]" allUniqueName="[DatoOrigenRRHH].[ESTADO].[All]" dimensionUniqueName="[DatoOrigenRRHH]" displayFolder="" count="0" memberValueDatatype="130" unbalanced="0"/>
    <cacheHierarchy uniqueName="[DatoOrigenRRHH].[GRUPO EDAD]" caption="GRUPO EDAD" attribute="1" defaultMemberUniqueName="[DatoOrigenRRHH].[GRUPO EDAD].[All]" allUniqueName="[DatoOrigenRRHH].[GRUPO EDAD].[All]" dimensionUniqueName="[DatoOrigenRRHH]" displayFolder="" count="0" memberValueDatatype="130" unbalanced="0"/>
    <cacheHierarchy uniqueName="[DatoOrigenRRHH].[SEGURO DE VIDA]" caption="SEGURO DE VIDA" attribute="1" defaultMemberUniqueName="[DatoOrigenRRHH].[SEGURO DE VIDA].[All]" allUniqueName="[DatoOrigenRRHH].[SEGURO DE VIDA].[All]" dimensionUniqueName="[DatoOrigenRRHH]" displayFolder="" count="0" memberValueDatatype="130" unbalanced="0"/>
    <cacheHierarchy uniqueName="[DatoOrigenRRHH].[RANGO SALARIAL]" caption="RANGO SALARIAL" attribute="1" defaultMemberUniqueName="[DatoOrigenRRHH].[RANGO SALARIAL].[All]" allUniqueName="[DatoOrigenRRHH].[RANGO SALARIAL].[All]" dimensionUniqueName="[DatoOrigenRRHH]" displayFolder="" count="0" memberValueDatatype="130" unbalanced="0"/>
    <cacheHierarchy uniqueName="[DatoOrigenRRHH].[GENERACION]" caption="GENERACION" attribute="1" defaultMemberUniqueName="[DatoOrigenRRHH].[GENERACION].[All]" allUniqueName="[DatoOrigenRRHH].[GENERACION].[All]" dimensionUniqueName="[DatoOrigenRRHH]" displayFolder="" count="0" memberValueDatatype="130" unbalanced="0"/>
    <cacheHierarchy uniqueName="[DatoOrigenRRHH].[FECHA DE INGRESO DD/MM/AAAA (Year)]" caption="FECHA DE INGRESO DD/MM/AAAA (Year)" attribute="1" defaultMemberUniqueName="[DatoOrigenRRHH].[FECHA DE INGRESO DD/MM/AAAA (Year)].[All]" allUniqueName="[DatoOrigenRRHH].[FECHA DE INGRESO DD/MM/AAAA (Year)].[All]" dimensionUniqueName="[DatoOrigenRRHH]" displayFolder="" count="0" memberValueDatatype="130" unbalanced="0"/>
    <cacheHierarchy uniqueName="[DatoOrigenRRHH].[FECHA DE INGRESO DD/MM/AAAA (Quarter)]" caption="FECHA DE INGRESO DD/MM/AAAA (Quarter)" attribute="1" defaultMemberUniqueName="[DatoOrigenRRHH].[FECHA DE INGRESO DD/MM/AAAA (Quarter)].[All]" allUniqueName="[DatoOrigenRRHH].[FECHA DE INGRESO DD/MM/AAAA (Quarter)].[All]" dimensionUniqueName="[DatoOrigenRRHH]" displayFolder="" count="0" memberValueDatatype="130" unbalanced="0"/>
    <cacheHierarchy uniqueName="[DatoOrigenRRHH].[FECHA DE INGRESO DD/MM/AAAA (Month)]" caption="FECHA DE INGRESO DD/MM/AAAA (Month)" attribute="1" defaultMemberUniqueName="[DatoOrigenRRHH].[FECHA DE INGRESO DD/MM/AAAA (Month)].[All]" allUniqueName="[DatoOrigenRRHH].[FECHA DE INGRESO DD/MM/AAAA (Month)].[All]" dimensionUniqueName="[DatoOrigenRRHH]" displayFolder="" count="0" memberValueDatatype="130" unbalanced="0"/>
    <cacheHierarchy uniqueName="[DatoOrigenRRHH].[FECHA DE INGRESO DD/MM/AAAA (Month Index)]" caption="FECHA DE INGRESO DD/MM/AAAA (Month Index)" attribute="1" defaultMemberUniqueName="[DatoOrigenRRHH].[FECHA DE INGRESO DD/MM/AAAA (Month Index)].[All]" allUniqueName="[DatoOrigenRRHH].[FECHA DE INGRESO DD/MM/AAAA (Month Index)].[All]" dimensionUniqueName="[DatoOrigenRRHH]" displayFolder="" count="0" memberValueDatatype="20" unbalanced="0" hidden="1"/>
    <cacheHierarchy uniqueName="[Measures].[Cantidad Empleados]" caption="Cantidad Empleados" measure="1" displayFolder="" measureGroup="DatoOrigenRRHH" count="0"/>
    <cacheHierarchy uniqueName="[Measures].[Mujeres]" caption="Mujeres" measure="1" displayFolder="" measureGroup="DatoOrigenRRHH" count="0" oneField="1">
      <fieldsUsage count="1">
        <fieldUsage x="0"/>
      </fieldsUsage>
    </cacheHierarchy>
    <cacheHierarchy uniqueName="[Measures].[Hombres]" caption="Hombres" measure="1" displayFolder="" measureGroup="DatoOrigenRRHH" count="0"/>
    <cacheHierarchy uniqueName="[Measures].[Cantidad Inactivos]" caption="Cantidad Inactivos" measure="1" displayFolder="" measureGroup="DatoOrigenRRHH" count="0"/>
    <cacheHierarchy uniqueName="[Measures].[Cantidad Activos]" caption="Cantidad Activ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cacheHierarchy uniqueName="[Measures].[Total Empleados]" caption="Total Empleados" measure="1" displayFolder="" measureGroup="DatoOrigenRRHH" count="0"/>
    <cacheHierarchy uniqueName="[Measures].[__XL_Count DatoOrigenRRHH]" caption="__XL_Count DatoOrigenRRHH" measure="1" displayFolder="" measureGroup="DatoOrigenRRHH"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GENERACION]" caption="Count of GENERACION" measure="1" displayFolder="" measureGroup="DatoOrigenRRHH" count="0" hidden="1">
      <extLst>
        <ext xmlns:x15="http://schemas.microsoft.com/office/spreadsheetml/2010/11/main" uri="{B97F6D7D-B522-45F9-BDA1-12C45D357490}">
          <x15:cacheHierarchy aggregatedColumn="34"/>
        </ext>
      </extLst>
    </cacheHierarchy>
    <cacheHierarchy uniqueName="[Measures].[Count of CARGO]" caption="Count of CARGO" measure="1" displayFolder="" measureGroup="DatoOrigenRRHH" count="0" hidden="1">
      <extLst>
        <ext xmlns:x15="http://schemas.microsoft.com/office/spreadsheetml/2010/11/main" uri="{B97F6D7D-B522-45F9-BDA1-12C45D357490}">
          <x15:cacheHierarchy aggregatedColumn="13"/>
        </ext>
      </extLst>
    </cacheHierarchy>
    <cacheHierarchy uniqueName="[Measures].[Sum of EDAD]" caption="Sum of EDAD" measure="1" displayFolder="" measureGroup="DatoOrigenRRHH"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name="DatoOrigenRRHH" uniqueName="[DatoOrigenRRHH]" caption="DatoOrigenRRHH"/>
    <dimension measure="1" name="Measures" uniqueName="[Measures]" caption="Measures"/>
  </dimensions>
  <measureGroups count="2">
    <measureGroup name="Calendar" caption="Calendar"/>
    <measureGroup name="DatoOrigenRRHH" caption="DatoOrigenRRHH"/>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zarous" refreshedDate="45883.482805092593" createdVersion="5" refreshedVersion="8" minRefreshableVersion="3" recordCount="0" supportSubquery="1" supportAdvancedDrill="1" xr:uid="{C07E0727-0CFB-4735-9794-0513DA5B022D}">
  <cacheSource type="external" connectionId="3"/>
  <cacheFields count="4">
    <cacheField name="[Measures].[Total Empleados]" caption="Total Empleados" numFmtId="0" hierarchy="46" level="32767"/>
    <cacheField name="[DatoOrigenRRHH].[RANGO SALARIAL].[RANGO SALARIAL]" caption="RANGO SALARIAL" numFmtId="0" hierarchy="33" level="1">
      <sharedItems count="3">
        <s v="Entre $ 1.000.000 y $ 3.000.000"/>
        <s v="Entre $ 3.000.000 y $ 5.000.000"/>
        <s v="Mayor a $ 5.000.000"/>
      </sharedItems>
    </cacheField>
    <cacheField name="[DatoOrigenRRHH].[AREA].[AREA]" caption="AREA" numFmtId="0" hierarchy="12" level="1">
      <sharedItems count="4">
        <s v="ADMINISTRACION"/>
        <s v="PRODUCCION"/>
        <s v="PROYECTOS"/>
        <s v="VENTAS"/>
      </sharedItems>
    </cacheField>
    <cacheField name="[Calendar].[Mes2].[Mes2]" caption="Mes2" numFmtId="0" hierarchy="4" level="1">
      <sharedItems containsSemiMixedTypes="0" containsNonDate="0" containsString="0"/>
    </cacheField>
  </cacheFields>
  <cacheHierarchies count="53">
    <cacheHierarchy uniqueName="[Calendar].[Date]" caption="Date" attribute="1" time="1" keyAttribute="1" defaultMemberUniqueName="[Calendar].[Date].[All]" allUniqueName="[Calendar].[Date].[All]" dimensionUniqueName="[Calendar]" displayFolder="" count="0" memberValueDatatype="7" unbalanced="0"/>
    <cacheHierarchy uniqueName="[Calendar].[Año2]" caption="Año2" attribute="1" time="1" defaultMemberUniqueName="[Calendar].[Año2].[All]" allUniqueName="[Calendar].[Año2].[All]" dimensionUniqueName="[Calendar]" displayFolder="" count="2" memberValueDatatype="20" unbalanced="0"/>
    <cacheHierarchy uniqueName="[Calendar].[Date Hierarchy]" caption="Date Hierarchy" time="1" defaultMemberUniqueName="[Calendar].[Date Hierarchy].[All]" allUniqueName="[Calendar].[Date Hierarchy].[All]" dimensionUniqueName="[Calendar]" displayFolder="" count="0" unbalanced="0"/>
    <cacheHierarchy uniqueName="[Calendar].[Numero Mes]" caption="Numero Mes" attribute="1" time="1" defaultMemberUniqueName="[Calendar].[Numero Mes].[All]" allUniqueName="[Calendar].[Numero Mes].[All]" dimensionUniqueName="[Calendar]" displayFolder="" count="0" memberValueDatatype="20" unbalanced="0"/>
    <cacheHierarchy uniqueName="[Calendar].[Mes2]" caption="Mes2" attribute="1" time="1" defaultMemberUniqueName="[Calendar].[Mes2].[All]" allUniqueName="[Calendar].[Mes2].[All]" dimensionUniqueName="[Calendar]" displayFolder="" count="2" memberValueDatatype="130" unbalanced="0">
      <fieldsUsage count="2">
        <fieldUsage x="-1"/>
        <fieldUsage x="3"/>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Num Dia]" caption="Num Dia" attribute="1" time="1" defaultMemberUniqueName="[Calendar].[Num Dia].[All]" allUniqueName="[Calendar].[Num Dia].[All]" dimensionUniqueName="[Calendar]" displayFolder="" count="0" memberValueDatatype="20" unbalanced="0"/>
    <cacheHierarchy uniqueName="[Calendar].[Dia de Semana]" caption="Dia de Semana" attribute="1" time="1" defaultMemberUniqueName="[Calendar].[Dia de Semana].[All]" allUniqueName="[Calendar].[Dia de Semana].[All]" dimensionUniqueName="[Calendar]" displayFolder="" count="0" memberValueDatatype="130" unbalanced="0"/>
    <cacheHierarchy uniqueName="[Calendar].[Dia2]" caption="Dia2" attribute="1" time="1" defaultMemberUniqueName="[Calendar].[Dia2].[All]" allUniqueName="[Calendar].[Dia2].[All]" dimensionUniqueName="[Calendar]" displayFolder="" count="0" memberValueDatatype="130" unbalanced="0"/>
    <cacheHierarchy uniqueName="[DatoOrigenRRHH].[DOCUMENTO]" caption="DOCUMENTO" attribute="1" defaultMemberUniqueName="[DatoOrigenRRHH].[DOCUMENTO].[All]" allUniqueName="[DatoOrigenRRHH].[DOCUMENTO].[All]" dimensionUniqueName="[DatoOrigenRRHH]" displayFolder="" count="0" memberValueDatatype="5" unbalanced="0"/>
    <cacheHierarchy uniqueName="[DatoOrigenRRHH].[NOMBRE COMPLETO]" caption="NOMBRE COMPLETO" attribute="1" defaultMemberUniqueName="[DatoOrigenRRHH].[NOMBRE COMPLETO].[All]" allUniqueName="[DatoOrigenRRHH].[NOMBRE COMPLETO].[All]" dimensionUniqueName="[DatoOrigenRRHH]" displayFolder="" count="0" memberValueDatatype="130" unbalanced="0"/>
    <cacheHierarchy uniqueName="[DatoOrigenRRHH].[GENERO]" caption="GENERO" attribute="1" defaultMemberUniqueName="[DatoOrigenRRHH].[GENERO].[All]" allUniqueName="[DatoOrigenRRHH].[GENERO].[All]" dimensionUniqueName="[DatoOrigenRRHH]" displayFolder="" count="0" memberValueDatatype="130" unbalanced="0"/>
    <cacheHierarchy uniqueName="[DatoOrigenRRHH].[AREA]" caption="AREA" attribute="1" defaultMemberUniqueName="[DatoOrigenRRHH].[AREA].[All]" allUniqueName="[DatoOrigenRRHH].[AREA].[All]" dimensionUniqueName="[DatoOrigenRRHH]" displayFolder="" count="2" memberValueDatatype="130" unbalanced="0">
      <fieldsUsage count="2">
        <fieldUsage x="-1"/>
        <fieldUsage x="2"/>
      </fieldsUsage>
    </cacheHierarchy>
    <cacheHierarchy uniqueName="[DatoOrigenRRHH].[CARGO]" caption="CARGO" attribute="1" defaultMemberUniqueName="[DatoOrigenRRHH].[CARGO].[All]" allUniqueName="[DatoOrigenRRHH].[CARGO].[All]" dimensionUniqueName="[DatoOrigenRRHH]" displayFolder="" count="0" memberValueDatatype="130" unbalanced="0"/>
    <cacheHierarchy uniqueName="[DatoOrigenRRHH].[SEDE]" caption="SEDE" attribute="1" defaultMemberUniqueName="[DatoOrigenRRHH].[SEDE].[All]" allUniqueName="[DatoOrigenRRHH].[SEDE].[All]" dimensionUniqueName="[DatoOrigenRRHH]" displayFolder="" count="0" memberValueDatatype="130" unbalanced="0"/>
    <cacheHierarchy uniqueName="[DatoOrigenRRHH].[SALARIO BÁSICO]" caption="SALARIO BÁSICO" attribute="1" defaultMemberUniqueName="[DatoOrigenRRHH].[SALARIO BÁSICO].[All]" allUniqueName="[DatoOrigenRRHH].[SALARIO BÁSICO].[All]" dimensionUniqueName="[DatoOrigenRRHH]" displayFolder="" count="0" memberValueDatatype="5" unbalanced="0"/>
    <cacheHierarchy uniqueName="[DatoOrigenRRHH].[COMISION]" caption="COMISION" attribute="1" defaultMemberUniqueName="[DatoOrigenRRHH].[COMISION].[All]" allUniqueName="[DatoOrigenRRHH].[COMISION].[All]" dimensionUniqueName="[DatoOrigenRRHH]" displayFolder="" count="0" memberValueDatatype="20" unbalanced="0"/>
    <cacheHierarchy uniqueName="[DatoOrigenRRHH].[PROMEDIO DEVENGADO MENSUAL]" caption="PROMEDIO DEVENGADO MENSUAL" attribute="1" defaultMemberUniqueName="[DatoOrigenRRHH].[PROMEDIO DEVENGADO MENSUAL].[All]" allUniqueName="[DatoOrigenRRHH].[PROMEDIO DEVENGADO MENSUAL].[All]" dimensionUniqueName="[DatoOrigenRRHH]" displayFolder="" count="0" memberValueDatatype="5" unbalanced="0"/>
    <cacheHierarchy uniqueName="[DatoOrigenRRHH].[EPS]" caption="EPS" attribute="1" defaultMemberUniqueName="[DatoOrigenRRHH].[EPS].[All]" allUniqueName="[DatoOrigenRRHH].[EPS].[All]" dimensionUniqueName="[DatoOrigenRRHH]" displayFolder="" count="0" memberValueDatatype="130" unbalanced="0"/>
    <cacheHierarchy uniqueName="[DatoOrigenRRHH].[AFP]" caption="AFP" attribute="1" defaultMemberUniqueName="[DatoOrigenRRHH].[AFP].[All]" allUniqueName="[DatoOrigenRRHH].[AFP].[All]" dimensionUniqueName="[DatoOrigenRRHH]" displayFolder="" count="0" memberValueDatatype="130" unbalanced="0"/>
    <cacheHierarchy uniqueName="[DatoOrigenRRHH].[FECHA DE NACIMIENTO]" caption="FECHA DE NACIMIENTO" attribute="1" time="1" defaultMemberUniqueName="[DatoOrigenRRHH].[FECHA DE NACIMIENTO].[All]" allUniqueName="[DatoOrigenRRHH].[FECHA DE NACIMIENTO].[All]" dimensionUniqueName="[DatoOrigenRRHH]" displayFolder="" count="0" memberValueDatatype="7" unbalanced="0"/>
    <cacheHierarchy uniqueName="[DatoOrigenRRHH].[EDAD]" caption="EDAD" attribute="1" defaultMemberUniqueName="[DatoOrigenRRHH].[EDAD].[All]" allUniqueName="[DatoOrigenRRHH].[EDAD].[All]" dimensionUniqueName="[DatoOrigenRRHH]" displayFolder="" count="0" memberValueDatatype="20" unbalanced="0"/>
    <cacheHierarchy uniqueName="[DatoOrigenRRHH].[DIRECCION]" caption="DIRECCION" attribute="1" defaultMemberUniqueName="[DatoOrigenRRHH].[DIRECCION].[All]" allUniqueName="[DatoOrigenRRHH].[DIRECCION].[All]" dimensionUniqueName="[DatoOrigenRRHH]" displayFolder="" count="0" memberValueDatatype="130" unbalanced="0"/>
    <cacheHierarchy uniqueName="[DatoOrigenRRHH].[MUNICIPIO]" caption="MUNICIPIO" attribute="1" defaultMemberUniqueName="[DatoOrigenRRHH].[MUNICIPIO].[All]" allUniqueName="[DatoOrigenRRHH].[MUNICIPIO].[All]" dimensionUniqueName="[DatoOrigenRRHH]" displayFolder="" count="0" memberValueDatatype="130" unbalanced="0"/>
    <cacheHierarchy uniqueName="[DatoOrigenRRHH].[HIJOS]" caption="HIJOS" attribute="1" defaultMemberUniqueName="[DatoOrigenRRHH].[HIJOS].[All]" allUniqueName="[DatoOrigenRRHH].[HIJOS].[All]" dimensionUniqueName="[DatoOrigenRRHH]" displayFolder="" count="0" memberValueDatatype="130" unbalanced="0"/>
    <cacheHierarchy uniqueName="[DatoOrigenRRHH].[FECHA DE INGRESO DD/MM/AAAA]" caption="FECHA DE INGRESO DD/MM/AAAA" attribute="1" time="1" defaultMemberUniqueName="[DatoOrigenRRHH].[FECHA DE INGRESO DD/MM/AAAA].[All]" allUniqueName="[DatoOrigenRRHH].[FECHA DE INGRESO DD/MM/AAAA].[All]" dimensionUniqueName="[DatoOrigenRRHH]" displayFolder="" count="0" memberValueDatatype="7" unbalanced="0"/>
    <cacheHierarchy uniqueName="[DatoOrigenRRHH].[FECHA DE SALIDA DD/MM/AAAA]" caption="FECHA DE SALIDA DD/MM/AAAA" attribute="1" time="1" defaultMemberUniqueName="[DatoOrigenRRHH].[FECHA DE SALIDA DD/MM/AAAA].[All]" allUniqueName="[DatoOrigenRRHH].[FECHA DE SALIDA DD/MM/AAAA].[All]" dimensionUniqueName="[DatoOrigenRRHH]" displayFolder="" count="0" memberValueDatatype="7" unbalanced="0"/>
    <cacheHierarchy uniqueName="[DatoOrigenRRHH].[TIPO DE CONTRATO]" caption="TIPO DE CONTRATO" attribute="1" defaultMemberUniqueName="[DatoOrigenRRHH].[TIPO DE CONTRATO].[All]" allUniqueName="[DatoOrigenRRHH].[TIPO DE CONTRATO].[All]" dimensionUniqueName="[DatoOrigenRRHH]" displayFolder="" count="0" memberValueDatatype="130" unbalanced="0"/>
    <cacheHierarchy uniqueName="[DatoOrigenRRHH].[ANTIGUEDAD AÑOS]" caption="ANTIGUEDAD AÑOS" attribute="1" defaultMemberUniqueName="[DatoOrigenRRHH].[ANTIGUEDAD AÑOS].[All]" allUniqueName="[DatoOrigenRRHH].[ANTIGUEDAD AÑOS].[All]" dimensionUniqueName="[DatoOrigenRRHH]" displayFolder="" count="0" memberValueDatatype="5" unbalanced="0"/>
    <cacheHierarchy uniqueName="[DatoOrigenRRHH].[NIVEL EDUCATIVO]" caption="NIVEL EDUCATIVO" attribute="1" defaultMemberUniqueName="[DatoOrigenRRHH].[NIVEL EDUCATIVO].[All]" allUniqueName="[DatoOrigenRRHH].[NIVEL EDUCATIVO].[All]" dimensionUniqueName="[DatoOrigenRRHH]" displayFolder="" count="0" memberValueDatatype="130" unbalanced="0"/>
    <cacheHierarchy uniqueName="[DatoOrigenRRHH].[ESTADO]" caption="ESTADO" attribute="1" defaultMemberUniqueName="[DatoOrigenRRHH].[ESTADO].[All]" allUniqueName="[DatoOrigenRRHH].[ESTADO].[All]" dimensionUniqueName="[DatoOrigenRRHH]" displayFolder="" count="0" memberValueDatatype="130" unbalanced="0"/>
    <cacheHierarchy uniqueName="[DatoOrigenRRHH].[GRUPO EDAD]" caption="GRUPO EDAD" attribute="1" defaultMemberUniqueName="[DatoOrigenRRHH].[GRUPO EDAD].[All]" allUniqueName="[DatoOrigenRRHH].[GRUPO EDAD].[All]" dimensionUniqueName="[DatoOrigenRRHH]" displayFolder="" count="0" memberValueDatatype="130" unbalanced="0"/>
    <cacheHierarchy uniqueName="[DatoOrigenRRHH].[SEGURO DE VIDA]" caption="SEGURO DE VIDA" attribute="1" defaultMemberUniqueName="[DatoOrigenRRHH].[SEGURO DE VIDA].[All]" allUniqueName="[DatoOrigenRRHH].[SEGURO DE VIDA].[All]" dimensionUniqueName="[DatoOrigenRRHH]" displayFolder="" count="0" memberValueDatatype="130" unbalanced="0"/>
    <cacheHierarchy uniqueName="[DatoOrigenRRHH].[RANGO SALARIAL]" caption="RANGO SALARIAL" attribute="1" defaultMemberUniqueName="[DatoOrigenRRHH].[RANGO SALARIAL].[All]" allUniqueName="[DatoOrigenRRHH].[RANGO SALARIAL].[All]" dimensionUniqueName="[DatoOrigenRRHH]" displayFolder="" count="2" memberValueDatatype="130" unbalanced="0">
      <fieldsUsage count="2">
        <fieldUsage x="-1"/>
        <fieldUsage x="1"/>
      </fieldsUsage>
    </cacheHierarchy>
    <cacheHierarchy uniqueName="[DatoOrigenRRHH].[GENERACION]" caption="GENERACION" attribute="1" defaultMemberUniqueName="[DatoOrigenRRHH].[GENERACION].[All]" allUniqueName="[DatoOrigenRRHH].[GENERACION].[All]" dimensionUniqueName="[DatoOrigenRRHH]" displayFolder="" count="0" memberValueDatatype="130" unbalanced="0"/>
    <cacheHierarchy uniqueName="[DatoOrigenRRHH].[FECHA DE INGRESO DD/MM/AAAA (Year)]" caption="FECHA DE INGRESO DD/MM/AAAA (Year)" attribute="1" defaultMemberUniqueName="[DatoOrigenRRHH].[FECHA DE INGRESO DD/MM/AAAA (Year)].[All]" allUniqueName="[DatoOrigenRRHH].[FECHA DE INGRESO DD/MM/AAAA (Year)].[All]" dimensionUniqueName="[DatoOrigenRRHH]" displayFolder="" count="0" memberValueDatatype="130" unbalanced="0"/>
    <cacheHierarchy uniqueName="[DatoOrigenRRHH].[FECHA DE INGRESO DD/MM/AAAA (Quarter)]" caption="FECHA DE INGRESO DD/MM/AAAA (Quarter)" attribute="1" defaultMemberUniqueName="[DatoOrigenRRHH].[FECHA DE INGRESO DD/MM/AAAA (Quarter)].[All]" allUniqueName="[DatoOrigenRRHH].[FECHA DE INGRESO DD/MM/AAAA (Quarter)].[All]" dimensionUniqueName="[DatoOrigenRRHH]" displayFolder="" count="0" memberValueDatatype="130" unbalanced="0"/>
    <cacheHierarchy uniqueName="[DatoOrigenRRHH].[FECHA DE INGRESO DD/MM/AAAA (Month)]" caption="FECHA DE INGRESO DD/MM/AAAA (Month)" attribute="1" defaultMemberUniqueName="[DatoOrigenRRHH].[FECHA DE INGRESO DD/MM/AAAA (Month)].[All]" allUniqueName="[DatoOrigenRRHH].[FECHA DE INGRESO DD/MM/AAAA (Month)].[All]" dimensionUniqueName="[DatoOrigenRRHH]" displayFolder="" count="0" memberValueDatatype="130" unbalanced="0"/>
    <cacheHierarchy uniqueName="[DatoOrigenRRHH].[FECHA DE INGRESO DD/MM/AAAA (Month Index)]" caption="FECHA DE INGRESO DD/MM/AAAA (Month Index)" attribute="1" defaultMemberUniqueName="[DatoOrigenRRHH].[FECHA DE INGRESO DD/MM/AAAA (Month Index)].[All]" allUniqueName="[DatoOrigenRRHH].[FECHA DE INGRESO DD/MM/AAAA (Month Index)].[All]" dimensionUniqueName="[DatoOrigenRRHH]" displayFolder="" count="0" memberValueDatatype="20" unbalanced="0" hidden="1"/>
    <cacheHierarchy uniqueName="[Measures].[Cantidad Empleados]" caption="Cantidad Emplead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cacheHierarchy uniqueName="[Measures].[Cantidad Inactivos]" caption="Cantidad Inactivos" measure="1" displayFolder="" measureGroup="DatoOrigenRRHH" count="0"/>
    <cacheHierarchy uniqueName="[Measures].[Cantidad Activos]" caption="Cantidad Activ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cacheHierarchy uniqueName="[Measures].[Total Empleados]" caption="Total Empleados" measure="1" displayFolder="" measureGroup="DatoOrigenRRHH" count="0" oneField="1">
      <fieldsUsage count="1">
        <fieldUsage x="0"/>
      </fieldsUsage>
    </cacheHierarchy>
    <cacheHierarchy uniqueName="[Measures].[__XL_Count DatoOrigenRRHH]" caption="__XL_Count DatoOrigenRRHH" measure="1" displayFolder="" measureGroup="DatoOrigenRRHH"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GENERACION]" caption="Count of GENERACION" measure="1" displayFolder="" measureGroup="DatoOrigenRRHH" count="0" hidden="1">
      <extLst>
        <ext xmlns:x15="http://schemas.microsoft.com/office/spreadsheetml/2010/11/main" uri="{B97F6D7D-B522-45F9-BDA1-12C45D357490}">
          <x15:cacheHierarchy aggregatedColumn="34"/>
        </ext>
      </extLst>
    </cacheHierarchy>
    <cacheHierarchy uniqueName="[Measures].[Count of CARGO]" caption="Count of CARGO" measure="1" displayFolder="" measureGroup="DatoOrigenRRHH" count="0" hidden="1">
      <extLst>
        <ext xmlns:x15="http://schemas.microsoft.com/office/spreadsheetml/2010/11/main" uri="{B97F6D7D-B522-45F9-BDA1-12C45D357490}">
          <x15:cacheHierarchy aggregatedColumn="13"/>
        </ext>
      </extLst>
    </cacheHierarchy>
    <cacheHierarchy uniqueName="[Measures].[Sum of EDAD]" caption="Sum of EDAD" measure="1" displayFolder="" measureGroup="DatoOrigenRRHH"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name="DatoOrigenRRHH" uniqueName="[DatoOrigenRRHH]" caption="DatoOrigenRRHH"/>
    <dimension measure="1" name="Measures" uniqueName="[Measures]" caption="Measures"/>
  </dimensions>
  <measureGroups count="2">
    <measureGroup name="Calendar" caption="Calendar"/>
    <measureGroup name="DatoOrigenRRHH" caption="DatoOrigenRRHH"/>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zarous" refreshedDate="45883.482805439817" createdVersion="5" refreshedVersion="8" minRefreshableVersion="3" recordCount="0" supportSubquery="1" supportAdvancedDrill="1" xr:uid="{95B8A81E-5B7C-4E19-B0EB-845AEB665CEA}">
  <cacheSource type="external" connectionId="3"/>
  <cacheFields count="5">
    <cacheField name="[Measures].[Total Empleados]" caption="Total Empleados" numFmtId="0" hierarchy="46" level="32767"/>
    <cacheField name="[DatoOrigenRRHH].[GRUPO EDAD].[GRUPO EDAD]" caption="GRUPO EDAD" numFmtId="0" hierarchy="31" level="1">
      <sharedItems count="3">
        <s v="Entre 30 y 50"/>
        <s v="Mayor de 50"/>
        <s v="Menor de 30"/>
      </sharedItems>
    </cacheField>
    <cacheField name="[DatoOrigenRRHH].[AREA].[AREA]" caption="AREA" numFmtId="0" hierarchy="12" level="1">
      <sharedItems count="4">
        <s v="ADMINISTRACION"/>
        <s v="PRODUCCION"/>
        <s v="PROYECTOS"/>
        <s v="VENTAS"/>
      </sharedItems>
    </cacheField>
    <cacheField name="[DatoOrigenRRHH].[GENERACION].[GENERACION]" caption="GENERACION" numFmtId="0" hierarchy="34" level="1">
      <sharedItems count="4">
        <s v="Baby boomers"/>
        <s v="Generación X"/>
        <s v="Generación Z"/>
        <s v="Los millennials"/>
      </sharedItems>
    </cacheField>
    <cacheField name="[Calendar].[Mes2].[Mes2]" caption="Mes2" numFmtId="0" hierarchy="4" level="1">
      <sharedItems containsSemiMixedTypes="0" containsNonDate="0" containsString="0"/>
    </cacheField>
  </cacheFields>
  <cacheHierarchies count="53">
    <cacheHierarchy uniqueName="[Calendar].[Date]" caption="Date" attribute="1" time="1" keyAttribute="1" defaultMemberUniqueName="[Calendar].[Date].[All]" allUniqueName="[Calendar].[Date].[All]" dimensionUniqueName="[Calendar]" displayFolder="" count="0" memberValueDatatype="7" unbalanced="0"/>
    <cacheHierarchy uniqueName="[Calendar].[Año2]" caption="Año2" attribute="1" time="1" defaultMemberUniqueName="[Calendar].[Año2].[All]" allUniqueName="[Calendar].[Año2].[All]" dimensionUniqueName="[Calendar]" displayFolder="" count="2" memberValueDatatype="20" unbalanced="0"/>
    <cacheHierarchy uniqueName="[Calendar].[Date Hierarchy]" caption="Date Hierarchy" time="1" defaultMemberUniqueName="[Calendar].[Date Hierarchy].[All]" allUniqueName="[Calendar].[Date Hierarchy].[All]" dimensionUniqueName="[Calendar]" displayFolder="" count="0" unbalanced="0"/>
    <cacheHierarchy uniqueName="[Calendar].[Numero Mes]" caption="Numero Mes" attribute="1" time="1" defaultMemberUniqueName="[Calendar].[Numero Mes].[All]" allUniqueName="[Calendar].[Numero Mes].[All]" dimensionUniqueName="[Calendar]" displayFolder="" count="0" memberValueDatatype="20" unbalanced="0"/>
    <cacheHierarchy uniqueName="[Calendar].[Mes2]" caption="Mes2" attribute="1" time="1" defaultMemberUniqueName="[Calendar].[Mes2].[All]" allUniqueName="[Calendar].[Mes2].[All]" dimensionUniqueName="[Calendar]" displayFolder="" count="2" memberValueDatatype="130" unbalanced="0">
      <fieldsUsage count="2">
        <fieldUsage x="-1"/>
        <fieldUsage x="4"/>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Num Dia]" caption="Num Dia" attribute="1" time="1" defaultMemberUniqueName="[Calendar].[Num Dia].[All]" allUniqueName="[Calendar].[Num Dia].[All]" dimensionUniqueName="[Calendar]" displayFolder="" count="0" memberValueDatatype="20" unbalanced="0"/>
    <cacheHierarchy uniqueName="[Calendar].[Dia de Semana]" caption="Dia de Semana" attribute="1" time="1" defaultMemberUniqueName="[Calendar].[Dia de Semana].[All]" allUniqueName="[Calendar].[Dia de Semana].[All]" dimensionUniqueName="[Calendar]" displayFolder="" count="0" memberValueDatatype="130" unbalanced="0"/>
    <cacheHierarchy uniqueName="[Calendar].[Dia2]" caption="Dia2" attribute="1" time="1" defaultMemberUniqueName="[Calendar].[Dia2].[All]" allUniqueName="[Calendar].[Dia2].[All]" dimensionUniqueName="[Calendar]" displayFolder="" count="0" memberValueDatatype="130" unbalanced="0"/>
    <cacheHierarchy uniqueName="[DatoOrigenRRHH].[DOCUMENTO]" caption="DOCUMENTO" attribute="1" defaultMemberUniqueName="[DatoOrigenRRHH].[DOCUMENTO].[All]" allUniqueName="[DatoOrigenRRHH].[DOCUMENTO].[All]" dimensionUniqueName="[DatoOrigenRRHH]" displayFolder="" count="0" memberValueDatatype="5" unbalanced="0"/>
    <cacheHierarchy uniqueName="[DatoOrigenRRHH].[NOMBRE COMPLETO]" caption="NOMBRE COMPLETO" attribute="1" defaultMemberUniqueName="[DatoOrigenRRHH].[NOMBRE COMPLETO].[All]" allUniqueName="[DatoOrigenRRHH].[NOMBRE COMPLETO].[All]" dimensionUniqueName="[DatoOrigenRRHH]" displayFolder="" count="0" memberValueDatatype="130" unbalanced="0"/>
    <cacheHierarchy uniqueName="[DatoOrigenRRHH].[GENERO]" caption="GENERO" attribute="1" defaultMemberUniqueName="[DatoOrigenRRHH].[GENERO].[All]" allUniqueName="[DatoOrigenRRHH].[GENERO].[All]" dimensionUniqueName="[DatoOrigenRRHH]" displayFolder="" count="0" memberValueDatatype="130" unbalanced="0"/>
    <cacheHierarchy uniqueName="[DatoOrigenRRHH].[AREA]" caption="AREA" attribute="1" defaultMemberUniqueName="[DatoOrigenRRHH].[AREA].[All]" allUniqueName="[DatoOrigenRRHH].[AREA].[All]" dimensionUniqueName="[DatoOrigenRRHH]" displayFolder="" count="2" memberValueDatatype="130" unbalanced="0">
      <fieldsUsage count="2">
        <fieldUsage x="-1"/>
        <fieldUsage x="2"/>
      </fieldsUsage>
    </cacheHierarchy>
    <cacheHierarchy uniqueName="[DatoOrigenRRHH].[CARGO]" caption="CARGO" attribute="1" defaultMemberUniqueName="[DatoOrigenRRHH].[CARGO].[All]" allUniqueName="[DatoOrigenRRHH].[CARGO].[All]" dimensionUniqueName="[DatoOrigenRRHH]" displayFolder="" count="0" memberValueDatatype="130" unbalanced="0"/>
    <cacheHierarchy uniqueName="[DatoOrigenRRHH].[SEDE]" caption="SEDE" attribute="1" defaultMemberUniqueName="[DatoOrigenRRHH].[SEDE].[All]" allUniqueName="[DatoOrigenRRHH].[SEDE].[All]" dimensionUniqueName="[DatoOrigenRRHH]" displayFolder="" count="0" memberValueDatatype="130" unbalanced="0"/>
    <cacheHierarchy uniqueName="[DatoOrigenRRHH].[SALARIO BÁSICO]" caption="SALARIO BÁSICO" attribute="1" defaultMemberUniqueName="[DatoOrigenRRHH].[SALARIO BÁSICO].[All]" allUniqueName="[DatoOrigenRRHH].[SALARIO BÁSICO].[All]" dimensionUniqueName="[DatoOrigenRRHH]" displayFolder="" count="0" memberValueDatatype="5" unbalanced="0"/>
    <cacheHierarchy uniqueName="[DatoOrigenRRHH].[COMISION]" caption="COMISION" attribute="1" defaultMemberUniqueName="[DatoOrigenRRHH].[COMISION].[All]" allUniqueName="[DatoOrigenRRHH].[COMISION].[All]" dimensionUniqueName="[DatoOrigenRRHH]" displayFolder="" count="0" memberValueDatatype="20" unbalanced="0"/>
    <cacheHierarchy uniqueName="[DatoOrigenRRHH].[PROMEDIO DEVENGADO MENSUAL]" caption="PROMEDIO DEVENGADO MENSUAL" attribute="1" defaultMemberUniqueName="[DatoOrigenRRHH].[PROMEDIO DEVENGADO MENSUAL].[All]" allUniqueName="[DatoOrigenRRHH].[PROMEDIO DEVENGADO MENSUAL].[All]" dimensionUniqueName="[DatoOrigenRRHH]" displayFolder="" count="0" memberValueDatatype="5" unbalanced="0"/>
    <cacheHierarchy uniqueName="[DatoOrigenRRHH].[EPS]" caption="EPS" attribute="1" defaultMemberUniqueName="[DatoOrigenRRHH].[EPS].[All]" allUniqueName="[DatoOrigenRRHH].[EPS].[All]" dimensionUniqueName="[DatoOrigenRRHH]" displayFolder="" count="0" memberValueDatatype="130" unbalanced="0"/>
    <cacheHierarchy uniqueName="[DatoOrigenRRHH].[AFP]" caption="AFP" attribute="1" defaultMemberUniqueName="[DatoOrigenRRHH].[AFP].[All]" allUniqueName="[DatoOrigenRRHH].[AFP].[All]" dimensionUniqueName="[DatoOrigenRRHH]" displayFolder="" count="0" memberValueDatatype="130" unbalanced="0"/>
    <cacheHierarchy uniqueName="[DatoOrigenRRHH].[FECHA DE NACIMIENTO]" caption="FECHA DE NACIMIENTO" attribute="1" time="1" defaultMemberUniqueName="[DatoOrigenRRHH].[FECHA DE NACIMIENTO].[All]" allUniqueName="[DatoOrigenRRHH].[FECHA DE NACIMIENTO].[All]" dimensionUniqueName="[DatoOrigenRRHH]" displayFolder="" count="0" memberValueDatatype="7" unbalanced="0"/>
    <cacheHierarchy uniqueName="[DatoOrigenRRHH].[EDAD]" caption="EDAD" attribute="1" defaultMemberUniqueName="[DatoOrigenRRHH].[EDAD].[All]" allUniqueName="[DatoOrigenRRHH].[EDAD].[All]" dimensionUniqueName="[DatoOrigenRRHH]" displayFolder="" count="0" memberValueDatatype="20" unbalanced="0"/>
    <cacheHierarchy uniqueName="[DatoOrigenRRHH].[DIRECCION]" caption="DIRECCION" attribute="1" defaultMemberUniqueName="[DatoOrigenRRHH].[DIRECCION].[All]" allUniqueName="[DatoOrigenRRHH].[DIRECCION].[All]" dimensionUniqueName="[DatoOrigenRRHH]" displayFolder="" count="0" memberValueDatatype="130" unbalanced="0"/>
    <cacheHierarchy uniqueName="[DatoOrigenRRHH].[MUNICIPIO]" caption="MUNICIPIO" attribute="1" defaultMemberUniqueName="[DatoOrigenRRHH].[MUNICIPIO].[All]" allUniqueName="[DatoOrigenRRHH].[MUNICIPIO].[All]" dimensionUniqueName="[DatoOrigenRRHH]" displayFolder="" count="0" memberValueDatatype="130" unbalanced="0"/>
    <cacheHierarchy uniqueName="[DatoOrigenRRHH].[HIJOS]" caption="HIJOS" attribute="1" defaultMemberUniqueName="[DatoOrigenRRHH].[HIJOS].[All]" allUniqueName="[DatoOrigenRRHH].[HIJOS].[All]" dimensionUniqueName="[DatoOrigenRRHH]" displayFolder="" count="0" memberValueDatatype="130" unbalanced="0"/>
    <cacheHierarchy uniqueName="[DatoOrigenRRHH].[FECHA DE INGRESO DD/MM/AAAA]" caption="FECHA DE INGRESO DD/MM/AAAA" attribute="1" time="1" defaultMemberUniqueName="[DatoOrigenRRHH].[FECHA DE INGRESO DD/MM/AAAA].[All]" allUniqueName="[DatoOrigenRRHH].[FECHA DE INGRESO DD/MM/AAAA].[All]" dimensionUniqueName="[DatoOrigenRRHH]" displayFolder="" count="0" memberValueDatatype="7" unbalanced="0"/>
    <cacheHierarchy uniqueName="[DatoOrigenRRHH].[FECHA DE SALIDA DD/MM/AAAA]" caption="FECHA DE SALIDA DD/MM/AAAA" attribute="1" time="1" defaultMemberUniqueName="[DatoOrigenRRHH].[FECHA DE SALIDA DD/MM/AAAA].[All]" allUniqueName="[DatoOrigenRRHH].[FECHA DE SALIDA DD/MM/AAAA].[All]" dimensionUniqueName="[DatoOrigenRRHH]" displayFolder="" count="0" memberValueDatatype="7" unbalanced="0"/>
    <cacheHierarchy uniqueName="[DatoOrigenRRHH].[TIPO DE CONTRATO]" caption="TIPO DE CONTRATO" attribute="1" defaultMemberUniqueName="[DatoOrigenRRHH].[TIPO DE CONTRATO].[All]" allUniqueName="[DatoOrigenRRHH].[TIPO DE CONTRATO].[All]" dimensionUniqueName="[DatoOrigenRRHH]" displayFolder="" count="0" memberValueDatatype="130" unbalanced="0"/>
    <cacheHierarchy uniqueName="[DatoOrigenRRHH].[ANTIGUEDAD AÑOS]" caption="ANTIGUEDAD AÑOS" attribute="1" defaultMemberUniqueName="[DatoOrigenRRHH].[ANTIGUEDAD AÑOS].[All]" allUniqueName="[DatoOrigenRRHH].[ANTIGUEDAD AÑOS].[All]" dimensionUniqueName="[DatoOrigenRRHH]" displayFolder="" count="0" memberValueDatatype="5" unbalanced="0"/>
    <cacheHierarchy uniqueName="[DatoOrigenRRHH].[NIVEL EDUCATIVO]" caption="NIVEL EDUCATIVO" attribute="1" defaultMemberUniqueName="[DatoOrigenRRHH].[NIVEL EDUCATIVO].[All]" allUniqueName="[DatoOrigenRRHH].[NIVEL EDUCATIVO].[All]" dimensionUniqueName="[DatoOrigenRRHH]" displayFolder="" count="0" memberValueDatatype="130" unbalanced="0"/>
    <cacheHierarchy uniqueName="[DatoOrigenRRHH].[ESTADO]" caption="ESTADO" attribute="1" defaultMemberUniqueName="[DatoOrigenRRHH].[ESTADO].[All]" allUniqueName="[DatoOrigenRRHH].[ESTADO].[All]" dimensionUniqueName="[DatoOrigenRRHH]" displayFolder="" count="0" memberValueDatatype="130" unbalanced="0"/>
    <cacheHierarchy uniqueName="[DatoOrigenRRHH].[GRUPO EDAD]" caption="GRUPO EDAD" attribute="1" defaultMemberUniqueName="[DatoOrigenRRHH].[GRUPO EDAD].[All]" allUniqueName="[DatoOrigenRRHH].[GRUPO EDAD].[All]" dimensionUniqueName="[DatoOrigenRRHH]" displayFolder="" count="2" memberValueDatatype="130" unbalanced="0">
      <fieldsUsage count="2">
        <fieldUsage x="-1"/>
        <fieldUsage x="1"/>
      </fieldsUsage>
    </cacheHierarchy>
    <cacheHierarchy uniqueName="[DatoOrigenRRHH].[SEGURO DE VIDA]" caption="SEGURO DE VIDA" attribute="1" defaultMemberUniqueName="[DatoOrigenRRHH].[SEGURO DE VIDA].[All]" allUniqueName="[DatoOrigenRRHH].[SEGURO DE VIDA].[All]" dimensionUniqueName="[DatoOrigenRRHH]" displayFolder="" count="0" memberValueDatatype="130" unbalanced="0"/>
    <cacheHierarchy uniqueName="[DatoOrigenRRHH].[RANGO SALARIAL]" caption="RANGO SALARIAL" attribute="1" defaultMemberUniqueName="[DatoOrigenRRHH].[RANGO SALARIAL].[All]" allUniqueName="[DatoOrigenRRHH].[RANGO SALARIAL].[All]" dimensionUniqueName="[DatoOrigenRRHH]" displayFolder="" count="0" memberValueDatatype="130" unbalanced="0"/>
    <cacheHierarchy uniqueName="[DatoOrigenRRHH].[GENERACION]" caption="GENERACION" attribute="1" defaultMemberUniqueName="[DatoOrigenRRHH].[GENERACION].[All]" allUniqueName="[DatoOrigenRRHH].[GENERACION].[All]" dimensionUniqueName="[DatoOrigenRRHH]" displayFolder="" count="2" memberValueDatatype="130" unbalanced="0">
      <fieldsUsage count="2">
        <fieldUsage x="-1"/>
        <fieldUsage x="3"/>
      </fieldsUsage>
    </cacheHierarchy>
    <cacheHierarchy uniqueName="[DatoOrigenRRHH].[FECHA DE INGRESO DD/MM/AAAA (Year)]" caption="FECHA DE INGRESO DD/MM/AAAA (Year)" attribute="1" defaultMemberUniqueName="[DatoOrigenRRHH].[FECHA DE INGRESO DD/MM/AAAA (Year)].[All]" allUniqueName="[DatoOrigenRRHH].[FECHA DE INGRESO DD/MM/AAAA (Year)].[All]" dimensionUniqueName="[DatoOrigenRRHH]" displayFolder="" count="0" memberValueDatatype="130" unbalanced="0"/>
    <cacheHierarchy uniqueName="[DatoOrigenRRHH].[FECHA DE INGRESO DD/MM/AAAA (Quarter)]" caption="FECHA DE INGRESO DD/MM/AAAA (Quarter)" attribute="1" defaultMemberUniqueName="[DatoOrigenRRHH].[FECHA DE INGRESO DD/MM/AAAA (Quarter)].[All]" allUniqueName="[DatoOrigenRRHH].[FECHA DE INGRESO DD/MM/AAAA (Quarter)].[All]" dimensionUniqueName="[DatoOrigenRRHH]" displayFolder="" count="0" memberValueDatatype="130" unbalanced="0"/>
    <cacheHierarchy uniqueName="[DatoOrigenRRHH].[FECHA DE INGRESO DD/MM/AAAA (Month)]" caption="FECHA DE INGRESO DD/MM/AAAA (Month)" attribute="1" defaultMemberUniqueName="[DatoOrigenRRHH].[FECHA DE INGRESO DD/MM/AAAA (Month)].[All]" allUniqueName="[DatoOrigenRRHH].[FECHA DE INGRESO DD/MM/AAAA (Month)].[All]" dimensionUniqueName="[DatoOrigenRRHH]" displayFolder="" count="0" memberValueDatatype="130" unbalanced="0"/>
    <cacheHierarchy uniqueName="[DatoOrigenRRHH].[FECHA DE INGRESO DD/MM/AAAA (Month Index)]" caption="FECHA DE INGRESO DD/MM/AAAA (Month Index)" attribute="1" defaultMemberUniqueName="[DatoOrigenRRHH].[FECHA DE INGRESO DD/MM/AAAA (Month Index)].[All]" allUniqueName="[DatoOrigenRRHH].[FECHA DE INGRESO DD/MM/AAAA (Month Index)].[All]" dimensionUniqueName="[DatoOrigenRRHH]" displayFolder="" count="0" memberValueDatatype="20" unbalanced="0" hidden="1"/>
    <cacheHierarchy uniqueName="[Measures].[Cantidad Empleados]" caption="Cantidad Emplead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cacheHierarchy uniqueName="[Measures].[Cantidad Inactivos]" caption="Cantidad Inactivos" measure="1" displayFolder="" measureGroup="DatoOrigenRRHH" count="0"/>
    <cacheHierarchy uniqueName="[Measures].[Cantidad Activos]" caption="Cantidad Activ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cacheHierarchy uniqueName="[Measures].[Total Empleados]" caption="Total Empleados" measure="1" displayFolder="" measureGroup="DatoOrigenRRHH" count="0" oneField="1">
      <fieldsUsage count="1">
        <fieldUsage x="0"/>
      </fieldsUsage>
    </cacheHierarchy>
    <cacheHierarchy uniqueName="[Measures].[__XL_Count DatoOrigenRRHH]" caption="__XL_Count DatoOrigenRRHH" measure="1" displayFolder="" measureGroup="DatoOrigenRRHH"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GENERACION]" caption="Count of GENERACION" measure="1" displayFolder="" measureGroup="DatoOrigenRRHH" count="0" hidden="1">
      <extLst>
        <ext xmlns:x15="http://schemas.microsoft.com/office/spreadsheetml/2010/11/main" uri="{B97F6D7D-B522-45F9-BDA1-12C45D357490}">
          <x15:cacheHierarchy aggregatedColumn="34"/>
        </ext>
      </extLst>
    </cacheHierarchy>
    <cacheHierarchy uniqueName="[Measures].[Count of CARGO]" caption="Count of CARGO" measure="1" displayFolder="" measureGroup="DatoOrigenRRHH" count="0" hidden="1">
      <extLst>
        <ext xmlns:x15="http://schemas.microsoft.com/office/spreadsheetml/2010/11/main" uri="{B97F6D7D-B522-45F9-BDA1-12C45D357490}">
          <x15:cacheHierarchy aggregatedColumn="13"/>
        </ext>
      </extLst>
    </cacheHierarchy>
    <cacheHierarchy uniqueName="[Measures].[Sum of EDAD]" caption="Sum of EDAD" measure="1" displayFolder="" measureGroup="DatoOrigenRRHH"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name="DatoOrigenRRHH" uniqueName="[DatoOrigenRRHH]" caption="DatoOrigenRRHH"/>
    <dimension measure="1" name="Measures" uniqueName="[Measures]" caption="Measures"/>
  </dimensions>
  <measureGroups count="2">
    <measureGroup name="Calendar" caption="Calendar"/>
    <measureGroup name="DatoOrigenRRHH" caption="DatoOrigenRRHH"/>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zarous" refreshedDate="45883.48280578704" createdVersion="5" refreshedVersion="8" minRefreshableVersion="3" recordCount="0" supportSubquery="1" supportAdvancedDrill="1" xr:uid="{684713A9-A30C-436E-BB1E-F00F4A5620B5}">
  <cacheSource type="external" connectionId="3"/>
  <cacheFields count="2">
    <cacheField name="[Measures].[%Hombres]" caption="%Hombres" numFmtId="0" hierarchy="45" level="32767"/>
    <cacheField name="[Calendar].[Mes2].[Mes2]" caption="Mes2" numFmtId="0" hierarchy="4" level="1">
      <sharedItems containsSemiMixedTypes="0" containsNonDate="0" containsString="0"/>
    </cacheField>
  </cacheFields>
  <cacheHierarchies count="53">
    <cacheHierarchy uniqueName="[Calendar].[Date]" caption="Date" attribute="1" time="1" keyAttribute="1" defaultMemberUniqueName="[Calendar].[Date].[All]" allUniqueName="[Calendar].[Date].[All]" dimensionUniqueName="[Calendar]" displayFolder="" count="0" memberValueDatatype="7" unbalanced="0"/>
    <cacheHierarchy uniqueName="[Calendar].[Año2]" caption="Año2" attribute="1" time="1" defaultMemberUniqueName="[Calendar].[Año2].[All]" allUniqueName="[Calendar].[Año2].[All]" dimensionUniqueName="[Calendar]" displayFolder="" count="2" memberValueDatatype="20" unbalanced="0"/>
    <cacheHierarchy uniqueName="[Calendar].[Date Hierarchy]" caption="Date Hierarchy" time="1" defaultMemberUniqueName="[Calendar].[Date Hierarchy].[All]" allUniqueName="[Calendar].[Date Hierarchy].[All]" dimensionUniqueName="[Calendar]" displayFolder="" count="0" unbalanced="0"/>
    <cacheHierarchy uniqueName="[Calendar].[Numero Mes]" caption="Numero Mes" attribute="1" time="1" defaultMemberUniqueName="[Calendar].[Numero Mes].[All]" allUniqueName="[Calendar].[Numero Mes].[All]" dimensionUniqueName="[Calendar]" displayFolder="" count="0" memberValueDatatype="20" unbalanced="0"/>
    <cacheHierarchy uniqueName="[Calendar].[Mes2]" caption="Mes2" attribute="1" time="1" defaultMemberUniqueName="[Calendar].[Mes2].[All]" allUniqueName="[Calendar].[Mes2].[All]" dimensionUniqueName="[Calendar]" displayFolder="" count="2" memberValueDatatype="130" unbalanced="0">
      <fieldsUsage count="2">
        <fieldUsage x="-1"/>
        <fieldUsage x="1"/>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Num Dia]" caption="Num Dia" attribute="1" time="1" defaultMemberUniqueName="[Calendar].[Num Dia].[All]" allUniqueName="[Calendar].[Num Dia].[All]" dimensionUniqueName="[Calendar]" displayFolder="" count="0" memberValueDatatype="20" unbalanced="0"/>
    <cacheHierarchy uniqueName="[Calendar].[Dia de Semana]" caption="Dia de Semana" attribute="1" time="1" defaultMemberUniqueName="[Calendar].[Dia de Semana].[All]" allUniqueName="[Calendar].[Dia de Semana].[All]" dimensionUniqueName="[Calendar]" displayFolder="" count="0" memberValueDatatype="130" unbalanced="0"/>
    <cacheHierarchy uniqueName="[Calendar].[Dia2]" caption="Dia2" attribute="1" time="1" defaultMemberUniqueName="[Calendar].[Dia2].[All]" allUniqueName="[Calendar].[Dia2].[All]" dimensionUniqueName="[Calendar]" displayFolder="" count="0" memberValueDatatype="130" unbalanced="0"/>
    <cacheHierarchy uniqueName="[DatoOrigenRRHH].[DOCUMENTO]" caption="DOCUMENTO" attribute="1" defaultMemberUniqueName="[DatoOrigenRRHH].[DOCUMENTO].[All]" allUniqueName="[DatoOrigenRRHH].[DOCUMENTO].[All]" dimensionUniqueName="[DatoOrigenRRHH]" displayFolder="" count="0" memberValueDatatype="5" unbalanced="0"/>
    <cacheHierarchy uniqueName="[DatoOrigenRRHH].[NOMBRE COMPLETO]" caption="NOMBRE COMPLETO" attribute="1" defaultMemberUniqueName="[DatoOrigenRRHH].[NOMBRE COMPLETO].[All]" allUniqueName="[DatoOrigenRRHH].[NOMBRE COMPLETO].[All]" dimensionUniqueName="[DatoOrigenRRHH]" displayFolder="" count="0" memberValueDatatype="130" unbalanced="0"/>
    <cacheHierarchy uniqueName="[DatoOrigenRRHH].[GENERO]" caption="GENERO" attribute="1" defaultMemberUniqueName="[DatoOrigenRRHH].[GENERO].[All]" allUniqueName="[DatoOrigenRRHH].[GENERO].[All]" dimensionUniqueName="[DatoOrigenRRHH]" displayFolder="" count="0" memberValueDatatype="130" unbalanced="0"/>
    <cacheHierarchy uniqueName="[DatoOrigenRRHH].[AREA]" caption="AREA" attribute="1" defaultMemberUniqueName="[DatoOrigenRRHH].[AREA].[All]" allUniqueName="[DatoOrigenRRHH].[AREA].[All]" dimensionUniqueName="[DatoOrigenRRHH]" displayFolder="" count="0" memberValueDatatype="130" unbalanced="0"/>
    <cacheHierarchy uniqueName="[DatoOrigenRRHH].[CARGO]" caption="CARGO" attribute="1" defaultMemberUniqueName="[DatoOrigenRRHH].[CARGO].[All]" allUniqueName="[DatoOrigenRRHH].[CARGO].[All]" dimensionUniqueName="[DatoOrigenRRHH]" displayFolder="" count="0" memberValueDatatype="130" unbalanced="0"/>
    <cacheHierarchy uniqueName="[DatoOrigenRRHH].[SEDE]" caption="SEDE" attribute="1" defaultMemberUniqueName="[DatoOrigenRRHH].[SEDE].[All]" allUniqueName="[DatoOrigenRRHH].[SEDE].[All]" dimensionUniqueName="[DatoOrigenRRHH]" displayFolder="" count="0" memberValueDatatype="130" unbalanced="0"/>
    <cacheHierarchy uniqueName="[DatoOrigenRRHH].[SALARIO BÁSICO]" caption="SALARIO BÁSICO" attribute="1" defaultMemberUniqueName="[DatoOrigenRRHH].[SALARIO BÁSICO].[All]" allUniqueName="[DatoOrigenRRHH].[SALARIO BÁSICO].[All]" dimensionUniqueName="[DatoOrigenRRHH]" displayFolder="" count="0" memberValueDatatype="5" unbalanced="0"/>
    <cacheHierarchy uniqueName="[DatoOrigenRRHH].[COMISION]" caption="COMISION" attribute="1" defaultMemberUniqueName="[DatoOrigenRRHH].[COMISION].[All]" allUniqueName="[DatoOrigenRRHH].[COMISION].[All]" dimensionUniqueName="[DatoOrigenRRHH]" displayFolder="" count="0" memberValueDatatype="20" unbalanced="0"/>
    <cacheHierarchy uniqueName="[DatoOrigenRRHH].[PROMEDIO DEVENGADO MENSUAL]" caption="PROMEDIO DEVENGADO MENSUAL" attribute="1" defaultMemberUniqueName="[DatoOrigenRRHH].[PROMEDIO DEVENGADO MENSUAL].[All]" allUniqueName="[DatoOrigenRRHH].[PROMEDIO DEVENGADO MENSUAL].[All]" dimensionUniqueName="[DatoOrigenRRHH]" displayFolder="" count="0" memberValueDatatype="5" unbalanced="0"/>
    <cacheHierarchy uniqueName="[DatoOrigenRRHH].[EPS]" caption="EPS" attribute="1" defaultMemberUniqueName="[DatoOrigenRRHH].[EPS].[All]" allUniqueName="[DatoOrigenRRHH].[EPS].[All]" dimensionUniqueName="[DatoOrigenRRHH]" displayFolder="" count="0" memberValueDatatype="130" unbalanced="0"/>
    <cacheHierarchy uniqueName="[DatoOrigenRRHH].[AFP]" caption="AFP" attribute="1" defaultMemberUniqueName="[DatoOrigenRRHH].[AFP].[All]" allUniqueName="[DatoOrigenRRHH].[AFP].[All]" dimensionUniqueName="[DatoOrigenRRHH]" displayFolder="" count="0" memberValueDatatype="130" unbalanced="0"/>
    <cacheHierarchy uniqueName="[DatoOrigenRRHH].[FECHA DE NACIMIENTO]" caption="FECHA DE NACIMIENTO" attribute="1" time="1" defaultMemberUniqueName="[DatoOrigenRRHH].[FECHA DE NACIMIENTO].[All]" allUniqueName="[DatoOrigenRRHH].[FECHA DE NACIMIENTO].[All]" dimensionUniqueName="[DatoOrigenRRHH]" displayFolder="" count="0" memberValueDatatype="7" unbalanced="0"/>
    <cacheHierarchy uniqueName="[DatoOrigenRRHH].[EDAD]" caption="EDAD" attribute="1" defaultMemberUniqueName="[DatoOrigenRRHH].[EDAD].[All]" allUniqueName="[DatoOrigenRRHH].[EDAD].[All]" dimensionUniqueName="[DatoOrigenRRHH]" displayFolder="" count="0" memberValueDatatype="20" unbalanced="0"/>
    <cacheHierarchy uniqueName="[DatoOrigenRRHH].[DIRECCION]" caption="DIRECCION" attribute="1" defaultMemberUniqueName="[DatoOrigenRRHH].[DIRECCION].[All]" allUniqueName="[DatoOrigenRRHH].[DIRECCION].[All]" dimensionUniqueName="[DatoOrigenRRHH]" displayFolder="" count="0" memberValueDatatype="130" unbalanced="0"/>
    <cacheHierarchy uniqueName="[DatoOrigenRRHH].[MUNICIPIO]" caption="MUNICIPIO" attribute="1" defaultMemberUniqueName="[DatoOrigenRRHH].[MUNICIPIO].[All]" allUniqueName="[DatoOrigenRRHH].[MUNICIPIO].[All]" dimensionUniqueName="[DatoOrigenRRHH]" displayFolder="" count="0" memberValueDatatype="130" unbalanced="0"/>
    <cacheHierarchy uniqueName="[DatoOrigenRRHH].[HIJOS]" caption="HIJOS" attribute="1" defaultMemberUniqueName="[DatoOrigenRRHH].[HIJOS].[All]" allUniqueName="[DatoOrigenRRHH].[HIJOS].[All]" dimensionUniqueName="[DatoOrigenRRHH]" displayFolder="" count="0" memberValueDatatype="130" unbalanced="0"/>
    <cacheHierarchy uniqueName="[DatoOrigenRRHH].[FECHA DE INGRESO DD/MM/AAAA]" caption="FECHA DE INGRESO DD/MM/AAAA" attribute="1" time="1" defaultMemberUniqueName="[DatoOrigenRRHH].[FECHA DE INGRESO DD/MM/AAAA].[All]" allUniqueName="[DatoOrigenRRHH].[FECHA DE INGRESO DD/MM/AAAA].[All]" dimensionUniqueName="[DatoOrigenRRHH]" displayFolder="" count="0" memberValueDatatype="7" unbalanced="0"/>
    <cacheHierarchy uniqueName="[DatoOrigenRRHH].[FECHA DE SALIDA DD/MM/AAAA]" caption="FECHA DE SALIDA DD/MM/AAAA" attribute="1" time="1" defaultMemberUniqueName="[DatoOrigenRRHH].[FECHA DE SALIDA DD/MM/AAAA].[All]" allUniqueName="[DatoOrigenRRHH].[FECHA DE SALIDA DD/MM/AAAA].[All]" dimensionUniqueName="[DatoOrigenRRHH]" displayFolder="" count="0" memberValueDatatype="7" unbalanced="0"/>
    <cacheHierarchy uniqueName="[DatoOrigenRRHH].[TIPO DE CONTRATO]" caption="TIPO DE CONTRATO" attribute="1" defaultMemberUniqueName="[DatoOrigenRRHH].[TIPO DE CONTRATO].[All]" allUniqueName="[DatoOrigenRRHH].[TIPO DE CONTRATO].[All]" dimensionUniqueName="[DatoOrigenRRHH]" displayFolder="" count="0" memberValueDatatype="130" unbalanced="0"/>
    <cacheHierarchy uniqueName="[DatoOrigenRRHH].[ANTIGUEDAD AÑOS]" caption="ANTIGUEDAD AÑOS" attribute="1" defaultMemberUniqueName="[DatoOrigenRRHH].[ANTIGUEDAD AÑOS].[All]" allUniqueName="[DatoOrigenRRHH].[ANTIGUEDAD AÑOS].[All]" dimensionUniqueName="[DatoOrigenRRHH]" displayFolder="" count="0" memberValueDatatype="5" unbalanced="0"/>
    <cacheHierarchy uniqueName="[DatoOrigenRRHH].[NIVEL EDUCATIVO]" caption="NIVEL EDUCATIVO" attribute="1" defaultMemberUniqueName="[DatoOrigenRRHH].[NIVEL EDUCATIVO].[All]" allUniqueName="[DatoOrigenRRHH].[NIVEL EDUCATIVO].[All]" dimensionUniqueName="[DatoOrigenRRHH]" displayFolder="" count="0" memberValueDatatype="130" unbalanced="0"/>
    <cacheHierarchy uniqueName="[DatoOrigenRRHH].[ESTADO]" caption="ESTADO" attribute="1" defaultMemberUniqueName="[DatoOrigenRRHH].[ESTADO].[All]" allUniqueName="[DatoOrigenRRHH].[ESTADO].[All]" dimensionUniqueName="[DatoOrigenRRHH]" displayFolder="" count="0" memberValueDatatype="130" unbalanced="0"/>
    <cacheHierarchy uniqueName="[DatoOrigenRRHH].[GRUPO EDAD]" caption="GRUPO EDAD" attribute="1" defaultMemberUniqueName="[DatoOrigenRRHH].[GRUPO EDAD].[All]" allUniqueName="[DatoOrigenRRHH].[GRUPO EDAD].[All]" dimensionUniqueName="[DatoOrigenRRHH]" displayFolder="" count="0" memberValueDatatype="130" unbalanced="0"/>
    <cacheHierarchy uniqueName="[DatoOrigenRRHH].[SEGURO DE VIDA]" caption="SEGURO DE VIDA" attribute="1" defaultMemberUniqueName="[DatoOrigenRRHH].[SEGURO DE VIDA].[All]" allUniqueName="[DatoOrigenRRHH].[SEGURO DE VIDA].[All]" dimensionUniqueName="[DatoOrigenRRHH]" displayFolder="" count="0" memberValueDatatype="130" unbalanced="0"/>
    <cacheHierarchy uniqueName="[DatoOrigenRRHH].[RANGO SALARIAL]" caption="RANGO SALARIAL" attribute="1" defaultMemberUniqueName="[DatoOrigenRRHH].[RANGO SALARIAL].[All]" allUniqueName="[DatoOrigenRRHH].[RANGO SALARIAL].[All]" dimensionUniqueName="[DatoOrigenRRHH]" displayFolder="" count="0" memberValueDatatype="130" unbalanced="0"/>
    <cacheHierarchy uniqueName="[DatoOrigenRRHH].[GENERACION]" caption="GENERACION" attribute="1" defaultMemberUniqueName="[DatoOrigenRRHH].[GENERACION].[All]" allUniqueName="[DatoOrigenRRHH].[GENERACION].[All]" dimensionUniqueName="[DatoOrigenRRHH]" displayFolder="" count="0" memberValueDatatype="130" unbalanced="0"/>
    <cacheHierarchy uniqueName="[DatoOrigenRRHH].[FECHA DE INGRESO DD/MM/AAAA (Year)]" caption="FECHA DE INGRESO DD/MM/AAAA (Year)" attribute="1" defaultMemberUniqueName="[DatoOrigenRRHH].[FECHA DE INGRESO DD/MM/AAAA (Year)].[All]" allUniqueName="[DatoOrigenRRHH].[FECHA DE INGRESO DD/MM/AAAA (Year)].[All]" dimensionUniqueName="[DatoOrigenRRHH]" displayFolder="" count="0" memberValueDatatype="130" unbalanced="0"/>
    <cacheHierarchy uniqueName="[DatoOrigenRRHH].[FECHA DE INGRESO DD/MM/AAAA (Quarter)]" caption="FECHA DE INGRESO DD/MM/AAAA (Quarter)" attribute="1" defaultMemberUniqueName="[DatoOrigenRRHH].[FECHA DE INGRESO DD/MM/AAAA (Quarter)].[All]" allUniqueName="[DatoOrigenRRHH].[FECHA DE INGRESO DD/MM/AAAA (Quarter)].[All]" dimensionUniqueName="[DatoOrigenRRHH]" displayFolder="" count="0" memberValueDatatype="130" unbalanced="0"/>
    <cacheHierarchy uniqueName="[DatoOrigenRRHH].[FECHA DE INGRESO DD/MM/AAAA (Month)]" caption="FECHA DE INGRESO DD/MM/AAAA (Month)" attribute="1" defaultMemberUniqueName="[DatoOrigenRRHH].[FECHA DE INGRESO DD/MM/AAAA (Month)].[All]" allUniqueName="[DatoOrigenRRHH].[FECHA DE INGRESO DD/MM/AAAA (Month)].[All]" dimensionUniqueName="[DatoOrigenRRHH]" displayFolder="" count="0" memberValueDatatype="130" unbalanced="0"/>
    <cacheHierarchy uniqueName="[DatoOrigenRRHH].[FECHA DE INGRESO DD/MM/AAAA (Month Index)]" caption="FECHA DE INGRESO DD/MM/AAAA (Month Index)" attribute="1" defaultMemberUniqueName="[DatoOrigenRRHH].[FECHA DE INGRESO DD/MM/AAAA (Month Index)].[All]" allUniqueName="[DatoOrigenRRHH].[FECHA DE INGRESO DD/MM/AAAA (Month Index)].[All]" dimensionUniqueName="[DatoOrigenRRHH]" displayFolder="" count="0" memberValueDatatype="20" unbalanced="0" hidden="1"/>
    <cacheHierarchy uniqueName="[Measures].[Cantidad Empleados]" caption="Cantidad Emplead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cacheHierarchy uniqueName="[Measures].[Cantidad Inactivos]" caption="Cantidad Inactivos" measure="1" displayFolder="" measureGroup="DatoOrigenRRHH" count="0"/>
    <cacheHierarchy uniqueName="[Measures].[Cantidad Activos]" caption="Cantidad Activ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oneField="1">
      <fieldsUsage count="1">
        <fieldUsage x="0"/>
      </fieldsUsage>
    </cacheHierarchy>
    <cacheHierarchy uniqueName="[Measures].[Total Empleados]" caption="Total Empleados" measure="1" displayFolder="" measureGroup="DatoOrigenRRHH" count="0"/>
    <cacheHierarchy uniqueName="[Measures].[__XL_Count DatoOrigenRRHH]" caption="__XL_Count DatoOrigenRRHH" measure="1" displayFolder="" measureGroup="DatoOrigenRRHH"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GENERACION]" caption="Count of GENERACION" measure="1" displayFolder="" measureGroup="DatoOrigenRRHH" count="0" hidden="1">
      <extLst>
        <ext xmlns:x15="http://schemas.microsoft.com/office/spreadsheetml/2010/11/main" uri="{B97F6D7D-B522-45F9-BDA1-12C45D357490}">
          <x15:cacheHierarchy aggregatedColumn="34"/>
        </ext>
      </extLst>
    </cacheHierarchy>
    <cacheHierarchy uniqueName="[Measures].[Count of CARGO]" caption="Count of CARGO" measure="1" displayFolder="" measureGroup="DatoOrigenRRHH" count="0" hidden="1">
      <extLst>
        <ext xmlns:x15="http://schemas.microsoft.com/office/spreadsheetml/2010/11/main" uri="{B97F6D7D-B522-45F9-BDA1-12C45D357490}">
          <x15:cacheHierarchy aggregatedColumn="13"/>
        </ext>
      </extLst>
    </cacheHierarchy>
    <cacheHierarchy uniqueName="[Measures].[Sum of EDAD]" caption="Sum of EDAD" measure="1" displayFolder="" measureGroup="DatoOrigenRRHH"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name="DatoOrigenRRHH" uniqueName="[DatoOrigenRRHH]" caption="DatoOrigenRRHH"/>
    <dimension measure="1" name="Measures" uniqueName="[Measures]" caption="Measures"/>
  </dimensions>
  <measureGroups count="2">
    <measureGroup name="Calendar" caption="Calendar"/>
    <measureGroup name="DatoOrigenRRHH" caption="DatoOrigenRRHH"/>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zarous" refreshedDate="45883.482806018517" createdVersion="5" refreshedVersion="8" minRefreshableVersion="3" recordCount="0" supportSubquery="1" supportAdvancedDrill="1" xr:uid="{7CDC8901-1F84-4713-AB37-1F0BF91D0387}">
  <cacheSource type="external" connectionId="3"/>
  <cacheFields count="2">
    <cacheField name="[Measures].[%Mujeres]" caption="%Mujeres" numFmtId="0" hierarchy="44" level="32767"/>
    <cacheField name="[Calendar].[Mes2].[Mes2]" caption="Mes2" numFmtId="0" hierarchy="4" level="1">
      <sharedItems containsSemiMixedTypes="0" containsNonDate="0" containsString="0"/>
    </cacheField>
  </cacheFields>
  <cacheHierarchies count="53">
    <cacheHierarchy uniqueName="[Calendar].[Date]" caption="Date" attribute="1" time="1" keyAttribute="1" defaultMemberUniqueName="[Calendar].[Date].[All]" allUniqueName="[Calendar].[Date].[All]" dimensionUniqueName="[Calendar]" displayFolder="" count="0" memberValueDatatype="7" unbalanced="0"/>
    <cacheHierarchy uniqueName="[Calendar].[Año2]" caption="Año2" attribute="1" time="1" defaultMemberUniqueName="[Calendar].[Año2].[All]" allUniqueName="[Calendar].[Año2].[All]" dimensionUniqueName="[Calendar]" displayFolder="" count="2" memberValueDatatype="20" unbalanced="0"/>
    <cacheHierarchy uniqueName="[Calendar].[Date Hierarchy]" caption="Date Hierarchy" time="1" defaultMemberUniqueName="[Calendar].[Date Hierarchy].[All]" allUniqueName="[Calendar].[Date Hierarchy].[All]" dimensionUniqueName="[Calendar]" displayFolder="" count="0" unbalanced="0"/>
    <cacheHierarchy uniqueName="[Calendar].[Numero Mes]" caption="Numero Mes" attribute="1" time="1" defaultMemberUniqueName="[Calendar].[Numero Mes].[All]" allUniqueName="[Calendar].[Numero Mes].[All]" dimensionUniqueName="[Calendar]" displayFolder="" count="0" memberValueDatatype="20" unbalanced="0"/>
    <cacheHierarchy uniqueName="[Calendar].[Mes2]" caption="Mes2" attribute="1" time="1" defaultMemberUniqueName="[Calendar].[Mes2].[All]" allUniqueName="[Calendar].[Mes2].[All]" dimensionUniqueName="[Calendar]" displayFolder="" count="2" memberValueDatatype="130" unbalanced="0">
      <fieldsUsage count="2">
        <fieldUsage x="-1"/>
        <fieldUsage x="1"/>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Num Dia]" caption="Num Dia" attribute="1" time="1" defaultMemberUniqueName="[Calendar].[Num Dia].[All]" allUniqueName="[Calendar].[Num Dia].[All]" dimensionUniqueName="[Calendar]" displayFolder="" count="0" memberValueDatatype="20" unbalanced="0"/>
    <cacheHierarchy uniqueName="[Calendar].[Dia de Semana]" caption="Dia de Semana" attribute="1" time="1" defaultMemberUniqueName="[Calendar].[Dia de Semana].[All]" allUniqueName="[Calendar].[Dia de Semana].[All]" dimensionUniqueName="[Calendar]" displayFolder="" count="0" memberValueDatatype="130" unbalanced="0"/>
    <cacheHierarchy uniqueName="[Calendar].[Dia2]" caption="Dia2" attribute="1" time="1" defaultMemberUniqueName="[Calendar].[Dia2].[All]" allUniqueName="[Calendar].[Dia2].[All]" dimensionUniqueName="[Calendar]" displayFolder="" count="0" memberValueDatatype="130" unbalanced="0"/>
    <cacheHierarchy uniqueName="[DatoOrigenRRHH].[DOCUMENTO]" caption="DOCUMENTO" attribute="1" defaultMemberUniqueName="[DatoOrigenRRHH].[DOCUMENTO].[All]" allUniqueName="[DatoOrigenRRHH].[DOCUMENTO].[All]" dimensionUniqueName="[DatoOrigenRRHH]" displayFolder="" count="0" memberValueDatatype="5" unbalanced="0"/>
    <cacheHierarchy uniqueName="[DatoOrigenRRHH].[NOMBRE COMPLETO]" caption="NOMBRE COMPLETO" attribute="1" defaultMemberUniqueName="[DatoOrigenRRHH].[NOMBRE COMPLETO].[All]" allUniqueName="[DatoOrigenRRHH].[NOMBRE COMPLETO].[All]" dimensionUniqueName="[DatoOrigenRRHH]" displayFolder="" count="0" memberValueDatatype="130" unbalanced="0"/>
    <cacheHierarchy uniqueName="[DatoOrigenRRHH].[GENERO]" caption="GENERO" attribute="1" defaultMemberUniqueName="[DatoOrigenRRHH].[GENERO].[All]" allUniqueName="[DatoOrigenRRHH].[GENERO].[All]" dimensionUniqueName="[DatoOrigenRRHH]" displayFolder="" count="0" memberValueDatatype="130" unbalanced="0"/>
    <cacheHierarchy uniqueName="[DatoOrigenRRHH].[AREA]" caption="AREA" attribute="1" defaultMemberUniqueName="[DatoOrigenRRHH].[AREA].[All]" allUniqueName="[DatoOrigenRRHH].[AREA].[All]" dimensionUniqueName="[DatoOrigenRRHH]" displayFolder="" count="0" memberValueDatatype="130" unbalanced="0"/>
    <cacheHierarchy uniqueName="[DatoOrigenRRHH].[CARGO]" caption="CARGO" attribute="1" defaultMemberUniqueName="[DatoOrigenRRHH].[CARGO].[All]" allUniqueName="[DatoOrigenRRHH].[CARGO].[All]" dimensionUniqueName="[DatoOrigenRRHH]" displayFolder="" count="0" memberValueDatatype="130" unbalanced="0"/>
    <cacheHierarchy uniqueName="[DatoOrigenRRHH].[SEDE]" caption="SEDE" attribute="1" defaultMemberUniqueName="[DatoOrigenRRHH].[SEDE].[All]" allUniqueName="[DatoOrigenRRHH].[SEDE].[All]" dimensionUniqueName="[DatoOrigenRRHH]" displayFolder="" count="0" memberValueDatatype="130" unbalanced="0"/>
    <cacheHierarchy uniqueName="[DatoOrigenRRHH].[SALARIO BÁSICO]" caption="SALARIO BÁSICO" attribute="1" defaultMemberUniqueName="[DatoOrigenRRHH].[SALARIO BÁSICO].[All]" allUniqueName="[DatoOrigenRRHH].[SALARIO BÁSICO].[All]" dimensionUniqueName="[DatoOrigenRRHH]" displayFolder="" count="0" memberValueDatatype="5" unbalanced="0"/>
    <cacheHierarchy uniqueName="[DatoOrigenRRHH].[COMISION]" caption="COMISION" attribute="1" defaultMemberUniqueName="[DatoOrigenRRHH].[COMISION].[All]" allUniqueName="[DatoOrigenRRHH].[COMISION].[All]" dimensionUniqueName="[DatoOrigenRRHH]" displayFolder="" count="0" memberValueDatatype="20" unbalanced="0"/>
    <cacheHierarchy uniqueName="[DatoOrigenRRHH].[PROMEDIO DEVENGADO MENSUAL]" caption="PROMEDIO DEVENGADO MENSUAL" attribute="1" defaultMemberUniqueName="[DatoOrigenRRHH].[PROMEDIO DEVENGADO MENSUAL].[All]" allUniqueName="[DatoOrigenRRHH].[PROMEDIO DEVENGADO MENSUAL].[All]" dimensionUniqueName="[DatoOrigenRRHH]" displayFolder="" count="0" memberValueDatatype="5" unbalanced="0"/>
    <cacheHierarchy uniqueName="[DatoOrigenRRHH].[EPS]" caption="EPS" attribute="1" defaultMemberUniqueName="[DatoOrigenRRHH].[EPS].[All]" allUniqueName="[DatoOrigenRRHH].[EPS].[All]" dimensionUniqueName="[DatoOrigenRRHH]" displayFolder="" count="0" memberValueDatatype="130" unbalanced="0"/>
    <cacheHierarchy uniqueName="[DatoOrigenRRHH].[AFP]" caption="AFP" attribute="1" defaultMemberUniqueName="[DatoOrigenRRHH].[AFP].[All]" allUniqueName="[DatoOrigenRRHH].[AFP].[All]" dimensionUniqueName="[DatoOrigenRRHH]" displayFolder="" count="0" memberValueDatatype="130" unbalanced="0"/>
    <cacheHierarchy uniqueName="[DatoOrigenRRHH].[FECHA DE NACIMIENTO]" caption="FECHA DE NACIMIENTO" attribute="1" time="1" defaultMemberUniqueName="[DatoOrigenRRHH].[FECHA DE NACIMIENTO].[All]" allUniqueName="[DatoOrigenRRHH].[FECHA DE NACIMIENTO].[All]" dimensionUniqueName="[DatoOrigenRRHH]" displayFolder="" count="0" memberValueDatatype="7" unbalanced="0"/>
    <cacheHierarchy uniqueName="[DatoOrigenRRHH].[EDAD]" caption="EDAD" attribute="1" defaultMemberUniqueName="[DatoOrigenRRHH].[EDAD].[All]" allUniqueName="[DatoOrigenRRHH].[EDAD].[All]" dimensionUniqueName="[DatoOrigenRRHH]" displayFolder="" count="0" memberValueDatatype="20" unbalanced="0"/>
    <cacheHierarchy uniqueName="[DatoOrigenRRHH].[DIRECCION]" caption="DIRECCION" attribute="1" defaultMemberUniqueName="[DatoOrigenRRHH].[DIRECCION].[All]" allUniqueName="[DatoOrigenRRHH].[DIRECCION].[All]" dimensionUniqueName="[DatoOrigenRRHH]" displayFolder="" count="0" memberValueDatatype="130" unbalanced="0"/>
    <cacheHierarchy uniqueName="[DatoOrigenRRHH].[MUNICIPIO]" caption="MUNICIPIO" attribute="1" defaultMemberUniqueName="[DatoOrigenRRHH].[MUNICIPIO].[All]" allUniqueName="[DatoOrigenRRHH].[MUNICIPIO].[All]" dimensionUniqueName="[DatoOrigenRRHH]" displayFolder="" count="0" memberValueDatatype="130" unbalanced="0"/>
    <cacheHierarchy uniqueName="[DatoOrigenRRHH].[HIJOS]" caption="HIJOS" attribute="1" defaultMemberUniqueName="[DatoOrigenRRHH].[HIJOS].[All]" allUniqueName="[DatoOrigenRRHH].[HIJOS].[All]" dimensionUniqueName="[DatoOrigenRRHH]" displayFolder="" count="0" memberValueDatatype="130" unbalanced="0"/>
    <cacheHierarchy uniqueName="[DatoOrigenRRHH].[FECHA DE INGRESO DD/MM/AAAA]" caption="FECHA DE INGRESO DD/MM/AAAA" attribute="1" time="1" defaultMemberUniqueName="[DatoOrigenRRHH].[FECHA DE INGRESO DD/MM/AAAA].[All]" allUniqueName="[DatoOrigenRRHH].[FECHA DE INGRESO DD/MM/AAAA].[All]" dimensionUniqueName="[DatoOrigenRRHH]" displayFolder="" count="0" memberValueDatatype="7" unbalanced="0"/>
    <cacheHierarchy uniqueName="[DatoOrigenRRHH].[FECHA DE SALIDA DD/MM/AAAA]" caption="FECHA DE SALIDA DD/MM/AAAA" attribute="1" time="1" defaultMemberUniqueName="[DatoOrigenRRHH].[FECHA DE SALIDA DD/MM/AAAA].[All]" allUniqueName="[DatoOrigenRRHH].[FECHA DE SALIDA DD/MM/AAAA].[All]" dimensionUniqueName="[DatoOrigenRRHH]" displayFolder="" count="0" memberValueDatatype="7" unbalanced="0"/>
    <cacheHierarchy uniqueName="[DatoOrigenRRHH].[TIPO DE CONTRATO]" caption="TIPO DE CONTRATO" attribute="1" defaultMemberUniqueName="[DatoOrigenRRHH].[TIPO DE CONTRATO].[All]" allUniqueName="[DatoOrigenRRHH].[TIPO DE CONTRATO].[All]" dimensionUniqueName="[DatoOrigenRRHH]" displayFolder="" count="0" memberValueDatatype="130" unbalanced="0"/>
    <cacheHierarchy uniqueName="[DatoOrigenRRHH].[ANTIGUEDAD AÑOS]" caption="ANTIGUEDAD AÑOS" attribute="1" defaultMemberUniqueName="[DatoOrigenRRHH].[ANTIGUEDAD AÑOS].[All]" allUniqueName="[DatoOrigenRRHH].[ANTIGUEDAD AÑOS].[All]" dimensionUniqueName="[DatoOrigenRRHH]" displayFolder="" count="0" memberValueDatatype="5" unbalanced="0"/>
    <cacheHierarchy uniqueName="[DatoOrigenRRHH].[NIVEL EDUCATIVO]" caption="NIVEL EDUCATIVO" attribute="1" defaultMemberUniqueName="[DatoOrigenRRHH].[NIVEL EDUCATIVO].[All]" allUniqueName="[DatoOrigenRRHH].[NIVEL EDUCATIVO].[All]" dimensionUniqueName="[DatoOrigenRRHH]" displayFolder="" count="0" memberValueDatatype="130" unbalanced="0"/>
    <cacheHierarchy uniqueName="[DatoOrigenRRHH].[ESTADO]" caption="ESTADO" attribute="1" defaultMemberUniqueName="[DatoOrigenRRHH].[ESTADO].[All]" allUniqueName="[DatoOrigenRRHH].[ESTADO].[All]" dimensionUniqueName="[DatoOrigenRRHH]" displayFolder="" count="0" memberValueDatatype="130" unbalanced="0"/>
    <cacheHierarchy uniqueName="[DatoOrigenRRHH].[GRUPO EDAD]" caption="GRUPO EDAD" attribute="1" defaultMemberUniqueName="[DatoOrigenRRHH].[GRUPO EDAD].[All]" allUniqueName="[DatoOrigenRRHH].[GRUPO EDAD].[All]" dimensionUniqueName="[DatoOrigenRRHH]" displayFolder="" count="0" memberValueDatatype="130" unbalanced="0"/>
    <cacheHierarchy uniqueName="[DatoOrigenRRHH].[SEGURO DE VIDA]" caption="SEGURO DE VIDA" attribute="1" defaultMemberUniqueName="[DatoOrigenRRHH].[SEGURO DE VIDA].[All]" allUniqueName="[DatoOrigenRRHH].[SEGURO DE VIDA].[All]" dimensionUniqueName="[DatoOrigenRRHH]" displayFolder="" count="0" memberValueDatatype="130" unbalanced="0"/>
    <cacheHierarchy uniqueName="[DatoOrigenRRHH].[RANGO SALARIAL]" caption="RANGO SALARIAL" attribute="1" defaultMemberUniqueName="[DatoOrigenRRHH].[RANGO SALARIAL].[All]" allUniqueName="[DatoOrigenRRHH].[RANGO SALARIAL].[All]" dimensionUniqueName="[DatoOrigenRRHH]" displayFolder="" count="0" memberValueDatatype="130" unbalanced="0"/>
    <cacheHierarchy uniqueName="[DatoOrigenRRHH].[GENERACION]" caption="GENERACION" attribute="1" defaultMemberUniqueName="[DatoOrigenRRHH].[GENERACION].[All]" allUniqueName="[DatoOrigenRRHH].[GENERACION].[All]" dimensionUniqueName="[DatoOrigenRRHH]" displayFolder="" count="0" memberValueDatatype="130" unbalanced="0"/>
    <cacheHierarchy uniqueName="[DatoOrigenRRHH].[FECHA DE INGRESO DD/MM/AAAA (Year)]" caption="FECHA DE INGRESO DD/MM/AAAA (Year)" attribute="1" defaultMemberUniqueName="[DatoOrigenRRHH].[FECHA DE INGRESO DD/MM/AAAA (Year)].[All]" allUniqueName="[DatoOrigenRRHH].[FECHA DE INGRESO DD/MM/AAAA (Year)].[All]" dimensionUniqueName="[DatoOrigenRRHH]" displayFolder="" count="0" memberValueDatatype="130" unbalanced="0"/>
    <cacheHierarchy uniqueName="[DatoOrigenRRHH].[FECHA DE INGRESO DD/MM/AAAA (Quarter)]" caption="FECHA DE INGRESO DD/MM/AAAA (Quarter)" attribute="1" defaultMemberUniqueName="[DatoOrigenRRHH].[FECHA DE INGRESO DD/MM/AAAA (Quarter)].[All]" allUniqueName="[DatoOrigenRRHH].[FECHA DE INGRESO DD/MM/AAAA (Quarter)].[All]" dimensionUniqueName="[DatoOrigenRRHH]" displayFolder="" count="0" memberValueDatatype="130" unbalanced="0"/>
    <cacheHierarchy uniqueName="[DatoOrigenRRHH].[FECHA DE INGRESO DD/MM/AAAA (Month)]" caption="FECHA DE INGRESO DD/MM/AAAA (Month)" attribute="1" defaultMemberUniqueName="[DatoOrigenRRHH].[FECHA DE INGRESO DD/MM/AAAA (Month)].[All]" allUniqueName="[DatoOrigenRRHH].[FECHA DE INGRESO DD/MM/AAAA (Month)].[All]" dimensionUniqueName="[DatoOrigenRRHH]" displayFolder="" count="0" memberValueDatatype="130" unbalanced="0"/>
    <cacheHierarchy uniqueName="[DatoOrigenRRHH].[FECHA DE INGRESO DD/MM/AAAA (Month Index)]" caption="FECHA DE INGRESO DD/MM/AAAA (Month Index)" attribute="1" defaultMemberUniqueName="[DatoOrigenRRHH].[FECHA DE INGRESO DD/MM/AAAA (Month Index)].[All]" allUniqueName="[DatoOrigenRRHH].[FECHA DE INGRESO DD/MM/AAAA (Month Index)].[All]" dimensionUniqueName="[DatoOrigenRRHH]" displayFolder="" count="0" memberValueDatatype="20" unbalanced="0" hidden="1"/>
    <cacheHierarchy uniqueName="[Measures].[Cantidad Empleados]" caption="Cantidad Emplead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cacheHierarchy uniqueName="[Measures].[Cantidad Inactivos]" caption="Cantidad Inactivos" measure="1" displayFolder="" measureGroup="DatoOrigenRRHH" count="0"/>
    <cacheHierarchy uniqueName="[Measures].[Cantidad Activos]" caption="Cantidad Activos" measure="1" displayFolder="" measureGroup="DatoOrigenRRHH" count="0"/>
    <cacheHierarchy uniqueName="[Measures].[%Mujeres]" caption="%Mujeres" measure="1" displayFolder="" measureGroup="DatoOrigenRRHH" count="0" oneField="1">
      <fieldsUsage count="1">
        <fieldUsage x="0"/>
      </fieldsUsage>
    </cacheHierarchy>
    <cacheHierarchy uniqueName="[Measures].[%Hombres]" caption="%Hombres" measure="1" displayFolder="" measureGroup="DatoOrigenRRHH" count="0"/>
    <cacheHierarchy uniqueName="[Measures].[Total Empleados]" caption="Total Empleados" measure="1" displayFolder="" measureGroup="DatoOrigenRRHH" count="0"/>
    <cacheHierarchy uniqueName="[Measures].[__XL_Count DatoOrigenRRHH]" caption="__XL_Count DatoOrigenRRHH" measure="1" displayFolder="" measureGroup="DatoOrigenRRHH"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GENERACION]" caption="Count of GENERACION" measure="1" displayFolder="" measureGroup="DatoOrigenRRHH" count="0" hidden="1">
      <extLst>
        <ext xmlns:x15="http://schemas.microsoft.com/office/spreadsheetml/2010/11/main" uri="{B97F6D7D-B522-45F9-BDA1-12C45D357490}">
          <x15:cacheHierarchy aggregatedColumn="34"/>
        </ext>
      </extLst>
    </cacheHierarchy>
    <cacheHierarchy uniqueName="[Measures].[Count of CARGO]" caption="Count of CARGO" measure="1" displayFolder="" measureGroup="DatoOrigenRRHH" count="0" hidden="1">
      <extLst>
        <ext xmlns:x15="http://schemas.microsoft.com/office/spreadsheetml/2010/11/main" uri="{B97F6D7D-B522-45F9-BDA1-12C45D357490}">
          <x15:cacheHierarchy aggregatedColumn="13"/>
        </ext>
      </extLst>
    </cacheHierarchy>
    <cacheHierarchy uniqueName="[Measures].[Sum of EDAD]" caption="Sum of EDAD" measure="1" displayFolder="" measureGroup="DatoOrigenRRHH"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name="DatoOrigenRRHH" uniqueName="[DatoOrigenRRHH]" caption="DatoOrigenRRHH"/>
    <dimension measure="1" name="Measures" uniqueName="[Measures]" caption="Measures"/>
  </dimensions>
  <measureGroups count="2">
    <measureGroup name="Calendar" caption="Calendar"/>
    <measureGroup name="DatoOrigenRRHH" caption="DatoOrigenRRHH"/>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zarous" refreshedDate="45883.482806018517" createdVersion="5" refreshedVersion="8" minRefreshableVersion="3" recordCount="0" supportSubquery="1" supportAdvancedDrill="1" xr:uid="{5EA0C5C3-5771-48F8-B3E0-811857E534B2}">
  <cacheSource type="external" connectionId="3"/>
  <cacheFields count="2">
    <cacheField name="[Measures].[Total Empleados]" caption="Total Empleados" numFmtId="0" hierarchy="46" level="32767"/>
    <cacheField name="[Calendar].[Mes2].[Mes2]" caption="Mes2" numFmtId="0" hierarchy="4" level="1">
      <sharedItems containsSemiMixedTypes="0" containsNonDate="0" containsString="0"/>
    </cacheField>
  </cacheFields>
  <cacheHierarchies count="53">
    <cacheHierarchy uniqueName="[Calendar].[Date]" caption="Date" attribute="1" time="1" keyAttribute="1" defaultMemberUniqueName="[Calendar].[Date].[All]" allUniqueName="[Calendar].[Date].[All]" dimensionUniqueName="[Calendar]" displayFolder="" count="0" memberValueDatatype="7" unbalanced="0"/>
    <cacheHierarchy uniqueName="[Calendar].[Año2]" caption="Año2" attribute="1" time="1" defaultMemberUniqueName="[Calendar].[Año2].[All]" allUniqueName="[Calendar].[Año2].[All]" dimensionUniqueName="[Calendar]" displayFolder="" count="2" memberValueDatatype="20" unbalanced="0"/>
    <cacheHierarchy uniqueName="[Calendar].[Date Hierarchy]" caption="Date Hierarchy" time="1" defaultMemberUniqueName="[Calendar].[Date Hierarchy].[All]" allUniqueName="[Calendar].[Date Hierarchy].[All]" dimensionUniqueName="[Calendar]" displayFolder="" count="0" unbalanced="0"/>
    <cacheHierarchy uniqueName="[Calendar].[Numero Mes]" caption="Numero Mes" attribute="1" time="1" defaultMemberUniqueName="[Calendar].[Numero Mes].[All]" allUniqueName="[Calendar].[Numero Mes].[All]" dimensionUniqueName="[Calendar]" displayFolder="" count="0" memberValueDatatype="20" unbalanced="0"/>
    <cacheHierarchy uniqueName="[Calendar].[Mes2]" caption="Mes2" attribute="1" time="1" defaultMemberUniqueName="[Calendar].[Mes2].[All]" allUniqueName="[Calendar].[Mes2].[All]" dimensionUniqueName="[Calendar]" displayFolder="" count="2" memberValueDatatype="130" unbalanced="0">
      <fieldsUsage count="2">
        <fieldUsage x="-1"/>
        <fieldUsage x="1"/>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Num Dia]" caption="Num Dia" attribute="1" time="1" defaultMemberUniqueName="[Calendar].[Num Dia].[All]" allUniqueName="[Calendar].[Num Dia].[All]" dimensionUniqueName="[Calendar]" displayFolder="" count="0" memberValueDatatype="20" unbalanced="0"/>
    <cacheHierarchy uniqueName="[Calendar].[Dia de Semana]" caption="Dia de Semana" attribute="1" time="1" defaultMemberUniqueName="[Calendar].[Dia de Semana].[All]" allUniqueName="[Calendar].[Dia de Semana].[All]" dimensionUniqueName="[Calendar]" displayFolder="" count="0" memberValueDatatype="130" unbalanced="0"/>
    <cacheHierarchy uniqueName="[Calendar].[Dia2]" caption="Dia2" attribute="1" time="1" defaultMemberUniqueName="[Calendar].[Dia2].[All]" allUniqueName="[Calendar].[Dia2].[All]" dimensionUniqueName="[Calendar]" displayFolder="" count="0" memberValueDatatype="130" unbalanced="0"/>
    <cacheHierarchy uniqueName="[DatoOrigenRRHH].[DOCUMENTO]" caption="DOCUMENTO" attribute="1" defaultMemberUniqueName="[DatoOrigenRRHH].[DOCUMENTO].[All]" allUniqueName="[DatoOrigenRRHH].[DOCUMENTO].[All]" dimensionUniqueName="[DatoOrigenRRHH]" displayFolder="" count="0" memberValueDatatype="5" unbalanced="0"/>
    <cacheHierarchy uniqueName="[DatoOrigenRRHH].[NOMBRE COMPLETO]" caption="NOMBRE COMPLETO" attribute="1" defaultMemberUniqueName="[DatoOrigenRRHH].[NOMBRE COMPLETO].[All]" allUniqueName="[DatoOrigenRRHH].[NOMBRE COMPLETO].[All]" dimensionUniqueName="[DatoOrigenRRHH]" displayFolder="" count="0" memberValueDatatype="130" unbalanced="0"/>
    <cacheHierarchy uniqueName="[DatoOrigenRRHH].[GENERO]" caption="GENERO" attribute="1" defaultMemberUniqueName="[DatoOrigenRRHH].[GENERO].[All]" allUniqueName="[DatoOrigenRRHH].[GENERO].[All]" dimensionUniqueName="[DatoOrigenRRHH]" displayFolder="" count="0" memberValueDatatype="130" unbalanced="0"/>
    <cacheHierarchy uniqueName="[DatoOrigenRRHH].[AREA]" caption="AREA" attribute="1" defaultMemberUniqueName="[DatoOrigenRRHH].[AREA].[All]" allUniqueName="[DatoOrigenRRHH].[AREA].[All]" dimensionUniqueName="[DatoOrigenRRHH]" displayFolder="" count="0" memberValueDatatype="130" unbalanced="0"/>
    <cacheHierarchy uniqueName="[DatoOrigenRRHH].[CARGO]" caption="CARGO" attribute="1" defaultMemberUniqueName="[DatoOrigenRRHH].[CARGO].[All]" allUniqueName="[DatoOrigenRRHH].[CARGO].[All]" dimensionUniqueName="[DatoOrigenRRHH]" displayFolder="" count="0" memberValueDatatype="130" unbalanced="0"/>
    <cacheHierarchy uniqueName="[DatoOrigenRRHH].[SEDE]" caption="SEDE" attribute="1" defaultMemberUniqueName="[DatoOrigenRRHH].[SEDE].[All]" allUniqueName="[DatoOrigenRRHH].[SEDE].[All]" dimensionUniqueName="[DatoOrigenRRHH]" displayFolder="" count="0" memberValueDatatype="130" unbalanced="0"/>
    <cacheHierarchy uniqueName="[DatoOrigenRRHH].[SALARIO BÁSICO]" caption="SALARIO BÁSICO" attribute="1" defaultMemberUniqueName="[DatoOrigenRRHH].[SALARIO BÁSICO].[All]" allUniqueName="[DatoOrigenRRHH].[SALARIO BÁSICO].[All]" dimensionUniqueName="[DatoOrigenRRHH]" displayFolder="" count="0" memberValueDatatype="5" unbalanced="0"/>
    <cacheHierarchy uniqueName="[DatoOrigenRRHH].[COMISION]" caption="COMISION" attribute="1" defaultMemberUniqueName="[DatoOrigenRRHH].[COMISION].[All]" allUniqueName="[DatoOrigenRRHH].[COMISION].[All]" dimensionUniqueName="[DatoOrigenRRHH]" displayFolder="" count="0" memberValueDatatype="20" unbalanced="0"/>
    <cacheHierarchy uniqueName="[DatoOrigenRRHH].[PROMEDIO DEVENGADO MENSUAL]" caption="PROMEDIO DEVENGADO MENSUAL" attribute="1" defaultMemberUniqueName="[DatoOrigenRRHH].[PROMEDIO DEVENGADO MENSUAL].[All]" allUniqueName="[DatoOrigenRRHH].[PROMEDIO DEVENGADO MENSUAL].[All]" dimensionUniqueName="[DatoOrigenRRHH]" displayFolder="" count="0" memberValueDatatype="5" unbalanced="0"/>
    <cacheHierarchy uniqueName="[DatoOrigenRRHH].[EPS]" caption="EPS" attribute="1" defaultMemberUniqueName="[DatoOrigenRRHH].[EPS].[All]" allUniqueName="[DatoOrigenRRHH].[EPS].[All]" dimensionUniqueName="[DatoOrigenRRHH]" displayFolder="" count="0" memberValueDatatype="130" unbalanced="0"/>
    <cacheHierarchy uniqueName="[DatoOrigenRRHH].[AFP]" caption="AFP" attribute="1" defaultMemberUniqueName="[DatoOrigenRRHH].[AFP].[All]" allUniqueName="[DatoOrigenRRHH].[AFP].[All]" dimensionUniqueName="[DatoOrigenRRHH]" displayFolder="" count="0" memberValueDatatype="130" unbalanced="0"/>
    <cacheHierarchy uniqueName="[DatoOrigenRRHH].[FECHA DE NACIMIENTO]" caption="FECHA DE NACIMIENTO" attribute="1" time="1" defaultMemberUniqueName="[DatoOrigenRRHH].[FECHA DE NACIMIENTO].[All]" allUniqueName="[DatoOrigenRRHH].[FECHA DE NACIMIENTO].[All]" dimensionUniqueName="[DatoOrigenRRHH]" displayFolder="" count="0" memberValueDatatype="7" unbalanced="0"/>
    <cacheHierarchy uniqueName="[DatoOrigenRRHH].[EDAD]" caption="EDAD" attribute="1" defaultMemberUniqueName="[DatoOrigenRRHH].[EDAD].[All]" allUniqueName="[DatoOrigenRRHH].[EDAD].[All]" dimensionUniqueName="[DatoOrigenRRHH]" displayFolder="" count="0" memberValueDatatype="20" unbalanced="0"/>
    <cacheHierarchy uniqueName="[DatoOrigenRRHH].[DIRECCION]" caption="DIRECCION" attribute="1" defaultMemberUniqueName="[DatoOrigenRRHH].[DIRECCION].[All]" allUniqueName="[DatoOrigenRRHH].[DIRECCION].[All]" dimensionUniqueName="[DatoOrigenRRHH]" displayFolder="" count="0" memberValueDatatype="130" unbalanced="0"/>
    <cacheHierarchy uniqueName="[DatoOrigenRRHH].[MUNICIPIO]" caption="MUNICIPIO" attribute="1" defaultMemberUniqueName="[DatoOrigenRRHH].[MUNICIPIO].[All]" allUniqueName="[DatoOrigenRRHH].[MUNICIPIO].[All]" dimensionUniqueName="[DatoOrigenRRHH]" displayFolder="" count="0" memberValueDatatype="130" unbalanced="0"/>
    <cacheHierarchy uniqueName="[DatoOrigenRRHH].[HIJOS]" caption="HIJOS" attribute="1" defaultMemberUniqueName="[DatoOrigenRRHH].[HIJOS].[All]" allUniqueName="[DatoOrigenRRHH].[HIJOS].[All]" dimensionUniqueName="[DatoOrigenRRHH]" displayFolder="" count="0" memberValueDatatype="130" unbalanced="0"/>
    <cacheHierarchy uniqueName="[DatoOrigenRRHH].[FECHA DE INGRESO DD/MM/AAAA]" caption="FECHA DE INGRESO DD/MM/AAAA" attribute="1" time="1" defaultMemberUniqueName="[DatoOrigenRRHH].[FECHA DE INGRESO DD/MM/AAAA].[All]" allUniqueName="[DatoOrigenRRHH].[FECHA DE INGRESO DD/MM/AAAA].[All]" dimensionUniqueName="[DatoOrigenRRHH]" displayFolder="" count="0" memberValueDatatype="7" unbalanced="0"/>
    <cacheHierarchy uniqueName="[DatoOrigenRRHH].[FECHA DE SALIDA DD/MM/AAAA]" caption="FECHA DE SALIDA DD/MM/AAAA" attribute="1" time="1" defaultMemberUniqueName="[DatoOrigenRRHH].[FECHA DE SALIDA DD/MM/AAAA].[All]" allUniqueName="[DatoOrigenRRHH].[FECHA DE SALIDA DD/MM/AAAA].[All]" dimensionUniqueName="[DatoOrigenRRHH]" displayFolder="" count="0" memberValueDatatype="7" unbalanced="0"/>
    <cacheHierarchy uniqueName="[DatoOrigenRRHH].[TIPO DE CONTRATO]" caption="TIPO DE CONTRATO" attribute="1" defaultMemberUniqueName="[DatoOrigenRRHH].[TIPO DE CONTRATO].[All]" allUniqueName="[DatoOrigenRRHH].[TIPO DE CONTRATO].[All]" dimensionUniqueName="[DatoOrigenRRHH]" displayFolder="" count="0" memberValueDatatype="130" unbalanced="0"/>
    <cacheHierarchy uniqueName="[DatoOrigenRRHH].[ANTIGUEDAD AÑOS]" caption="ANTIGUEDAD AÑOS" attribute="1" defaultMemberUniqueName="[DatoOrigenRRHH].[ANTIGUEDAD AÑOS].[All]" allUniqueName="[DatoOrigenRRHH].[ANTIGUEDAD AÑOS].[All]" dimensionUniqueName="[DatoOrigenRRHH]" displayFolder="" count="0" memberValueDatatype="5" unbalanced="0"/>
    <cacheHierarchy uniqueName="[DatoOrigenRRHH].[NIVEL EDUCATIVO]" caption="NIVEL EDUCATIVO" attribute="1" defaultMemberUniqueName="[DatoOrigenRRHH].[NIVEL EDUCATIVO].[All]" allUniqueName="[DatoOrigenRRHH].[NIVEL EDUCATIVO].[All]" dimensionUniqueName="[DatoOrigenRRHH]" displayFolder="" count="0" memberValueDatatype="130" unbalanced="0"/>
    <cacheHierarchy uniqueName="[DatoOrigenRRHH].[ESTADO]" caption="ESTADO" attribute="1" defaultMemberUniqueName="[DatoOrigenRRHH].[ESTADO].[All]" allUniqueName="[DatoOrigenRRHH].[ESTADO].[All]" dimensionUniqueName="[DatoOrigenRRHH]" displayFolder="" count="0" memberValueDatatype="130" unbalanced="0"/>
    <cacheHierarchy uniqueName="[DatoOrigenRRHH].[GRUPO EDAD]" caption="GRUPO EDAD" attribute="1" defaultMemberUniqueName="[DatoOrigenRRHH].[GRUPO EDAD].[All]" allUniqueName="[DatoOrigenRRHH].[GRUPO EDAD].[All]" dimensionUniqueName="[DatoOrigenRRHH]" displayFolder="" count="0" memberValueDatatype="130" unbalanced="0"/>
    <cacheHierarchy uniqueName="[DatoOrigenRRHH].[SEGURO DE VIDA]" caption="SEGURO DE VIDA" attribute="1" defaultMemberUniqueName="[DatoOrigenRRHH].[SEGURO DE VIDA].[All]" allUniqueName="[DatoOrigenRRHH].[SEGURO DE VIDA].[All]" dimensionUniqueName="[DatoOrigenRRHH]" displayFolder="" count="0" memberValueDatatype="130" unbalanced="0"/>
    <cacheHierarchy uniqueName="[DatoOrigenRRHH].[RANGO SALARIAL]" caption="RANGO SALARIAL" attribute="1" defaultMemberUniqueName="[DatoOrigenRRHH].[RANGO SALARIAL].[All]" allUniqueName="[DatoOrigenRRHH].[RANGO SALARIAL].[All]" dimensionUniqueName="[DatoOrigenRRHH]" displayFolder="" count="0" memberValueDatatype="130" unbalanced="0"/>
    <cacheHierarchy uniqueName="[DatoOrigenRRHH].[GENERACION]" caption="GENERACION" attribute="1" defaultMemberUniqueName="[DatoOrigenRRHH].[GENERACION].[All]" allUniqueName="[DatoOrigenRRHH].[GENERACION].[All]" dimensionUniqueName="[DatoOrigenRRHH]" displayFolder="" count="0" memberValueDatatype="130" unbalanced="0"/>
    <cacheHierarchy uniqueName="[DatoOrigenRRHH].[FECHA DE INGRESO DD/MM/AAAA (Year)]" caption="FECHA DE INGRESO DD/MM/AAAA (Year)" attribute="1" defaultMemberUniqueName="[DatoOrigenRRHH].[FECHA DE INGRESO DD/MM/AAAA (Year)].[All]" allUniqueName="[DatoOrigenRRHH].[FECHA DE INGRESO DD/MM/AAAA (Year)].[All]" dimensionUniqueName="[DatoOrigenRRHH]" displayFolder="" count="0" memberValueDatatype="130" unbalanced="0"/>
    <cacheHierarchy uniqueName="[DatoOrigenRRHH].[FECHA DE INGRESO DD/MM/AAAA (Quarter)]" caption="FECHA DE INGRESO DD/MM/AAAA (Quarter)" attribute="1" defaultMemberUniqueName="[DatoOrigenRRHH].[FECHA DE INGRESO DD/MM/AAAA (Quarter)].[All]" allUniqueName="[DatoOrigenRRHH].[FECHA DE INGRESO DD/MM/AAAA (Quarter)].[All]" dimensionUniqueName="[DatoOrigenRRHH]" displayFolder="" count="0" memberValueDatatype="130" unbalanced="0"/>
    <cacheHierarchy uniqueName="[DatoOrigenRRHH].[FECHA DE INGRESO DD/MM/AAAA (Month)]" caption="FECHA DE INGRESO DD/MM/AAAA (Month)" attribute="1" defaultMemberUniqueName="[DatoOrigenRRHH].[FECHA DE INGRESO DD/MM/AAAA (Month)].[All]" allUniqueName="[DatoOrigenRRHH].[FECHA DE INGRESO DD/MM/AAAA (Month)].[All]" dimensionUniqueName="[DatoOrigenRRHH]" displayFolder="" count="0" memberValueDatatype="130" unbalanced="0"/>
    <cacheHierarchy uniqueName="[DatoOrigenRRHH].[FECHA DE INGRESO DD/MM/AAAA (Month Index)]" caption="FECHA DE INGRESO DD/MM/AAAA (Month Index)" attribute="1" defaultMemberUniqueName="[DatoOrigenRRHH].[FECHA DE INGRESO DD/MM/AAAA (Month Index)].[All]" allUniqueName="[DatoOrigenRRHH].[FECHA DE INGRESO DD/MM/AAAA (Month Index)].[All]" dimensionUniqueName="[DatoOrigenRRHH]" displayFolder="" count="0" memberValueDatatype="20" unbalanced="0" hidden="1"/>
    <cacheHierarchy uniqueName="[Measures].[Cantidad Empleados]" caption="Cantidad Emplead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cacheHierarchy uniqueName="[Measures].[Cantidad Inactivos]" caption="Cantidad Inactivos" measure="1" displayFolder="" measureGroup="DatoOrigenRRHH" count="0"/>
    <cacheHierarchy uniqueName="[Measures].[Cantidad Activos]" caption="Cantidad Activ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cacheHierarchy uniqueName="[Measures].[Total Empleados]" caption="Total Empleados" measure="1" displayFolder="" measureGroup="DatoOrigenRRHH" count="0" oneField="1">
      <fieldsUsage count="1">
        <fieldUsage x="0"/>
      </fieldsUsage>
    </cacheHierarchy>
    <cacheHierarchy uniqueName="[Measures].[__XL_Count DatoOrigenRRHH]" caption="__XL_Count DatoOrigenRRHH" measure="1" displayFolder="" measureGroup="DatoOrigenRRHH"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GENERACION]" caption="Count of GENERACION" measure="1" displayFolder="" measureGroup="DatoOrigenRRHH" count="0" hidden="1">
      <extLst>
        <ext xmlns:x15="http://schemas.microsoft.com/office/spreadsheetml/2010/11/main" uri="{B97F6D7D-B522-45F9-BDA1-12C45D357490}">
          <x15:cacheHierarchy aggregatedColumn="34"/>
        </ext>
      </extLst>
    </cacheHierarchy>
    <cacheHierarchy uniqueName="[Measures].[Count of CARGO]" caption="Count of CARGO" measure="1" displayFolder="" measureGroup="DatoOrigenRRHH" count="0" hidden="1">
      <extLst>
        <ext xmlns:x15="http://schemas.microsoft.com/office/spreadsheetml/2010/11/main" uri="{B97F6D7D-B522-45F9-BDA1-12C45D357490}">
          <x15:cacheHierarchy aggregatedColumn="13"/>
        </ext>
      </extLst>
    </cacheHierarchy>
    <cacheHierarchy uniqueName="[Measures].[Sum of EDAD]" caption="Sum of EDAD" measure="1" displayFolder="" measureGroup="DatoOrigenRRHH"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name="DatoOrigenRRHH" uniqueName="[DatoOrigenRRHH]" caption="DatoOrigenRRHH"/>
    <dimension measure="1" name="Measures" uniqueName="[Measures]" caption="Measures"/>
  </dimensions>
  <measureGroups count="2">
    <measureGroup name="Calendar" caption="Calendar"/>
    <measureGroup name="DatoOrigenRRHH" caption="DatoOrigenRRHH"/>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zarous" refreshedDate="45883.482806481479" createdVersion="5" refreshedVersion="8" minRefreshableVersion="3" recordCount="0" supportSubquery="1" supportAdvancedDrill="1" xr:uid="{48FCDADE-889E-470C-9051-CCDEEEE5F357}">
  <cacheSource type="external" connectionId="3"/>
  <cacheFields count="3">
    <cacheField name="[Measures].[Total Empleados]" caption="Total Empleados" numFmtId="0" hierarchy="46" level="32767"/>
    <cacheField name="[Calendar].[Año2].[Año2]" caption="Año2" numFmtId="0" hierarchy="1" level="1">
      <sharedItems containsSemiMixedTypes="0" containsString="0" containsNumber="1" containsInteger="1" minValue="2009" maxValue="2021" count="13">
        <n v="2009"/>
        <n v="2010"/>
        <n v="2011"/>
        <n v="2012"/>
        <n v="2013"/>
        <n v="2014"/>
        <n v="2015"/>
        <n v="2016"/>
        <n v="2017"/>
        <n v="2018"/>
        <n v="2019"/>
        <n v="2020"/>
        <n v="2021"/>
      </sharedItems>
      <extLst>
        <ext xmlns:x15="http://schemas.microsoft.com/office/spreadsheetml/2010/11/main" uri="{4F2E5C28-24EA-4eb8-9CBF-B6C8F9C3D259}">
          <x15:cachedUniqueNames>
            <x15:cachedUniqueName index="0" name="[Calendar].[Año2].&amp;[2009]"/>
            <x15:cachedUniqueName index="1" name="[Calendar].[Año2].&amp;[2010]"/>
            <x15:cachedUniqueName index="2" name="[Calendar].[Año2].&amp;[2011]"/>
            <x15:cachedUniqueName index="3" name="[Calendar].[Año2].&amp;[2012]"/>
            <x15:cachedUniqueName index="4" name="[Calendar].[Año2].&amp;[2013]"/>
            <x15:cachedUniqueName index="5" name="[Calendar].[Año2].&amp;[2014]"/>
            <x15:cachedUniqueName index="6" name="[Calendar].[Año2].&amp;[2015]"/>
            <x15:cachedUniqueName index="7" name="[Calendar].[Año2].&amp;[2016]"/>
            <x15:cachedUniqueName index="8" name="[Calendar].[Año2].&amp;[2017]"/>
            <x15:cachedUniqueName index="9" name="[Calendar].[Año2].&amp;[2018]"/>
            <x15:cachedUniqueName index="10" name="[Calendar].[Año2].&amp;[2019]"/>
            <x15:cachedUniqueName index="11" name="[Calendar].[Año2].&amp;[2020]"/>
            <x15:cachedUniqueName index="12" name="[Calendar].[Año2].&amp;[2021]"/>
          </x15:cachedUniqueNames>
        </ext>
      </extLst>
    </cacheField>
    <cacheField name="[Calendar].[Mes2].[Mes2]" caption="Mes2" numFmtId="0" hierarchy="4" level="1">
      <sharedItems containsSemiMixedTypes="0" containsNonDate="0" containsString="0"/>
    </cacheField>
  </cacheFields>
  <cacheHierarchies count="53">
    <cacheHierarchy uniqueName="[Calendar].[Date]" caption="Date" attribute="1" time="1" keyAttribute="1" defaultMemberUniqueName="[Calendar].[Date].[All]" allUniqueName="[Calendar].[Date].[All]" dimensionUniqueName="[Calendar]" displayFolder="" count="0" memberValueDatatype="7" unbalanced="0"/>
    <cacheHierarchy uniqueName="[Calendar].[Año2]" caption="Año2" attribute="1" time="1" defaultMemberUniqueName="[Calendar].[Año2].[All]" allUniqueName="[Calendar].[Año2].[All]" dimensionUniqueName="[Calendar]" displayFolder="" count="2" memberValueDatatype="20" unbalanced="0">
      <fieldsUsage count="2">
        <fieldUsage x="-1"/>
        <fieldUsage x="1"/>
      </fieldsUsage>
    </cacheHierarchy>
    <cacheHierarchy uniqueName="[Calendar].[Date Hierarchy]" caption="Date Hierarchy" time="1" defaultMemberUniqueName="[Calendar].[Date Hierarchy].[All]" allUniqueName="[Calendar].[Date Hierarchy].[All]" dimensionUniqueName="[Calendar]" displayFolder="" count="0" unbalanced="0"/>
    <cacheHierarchy uniqueName="[Calendar].[Numero Mes]" caption="Numero Mes" attribute="1" time="1" defaultMemberUniqueName="[Calendar].[Numero Mes].[All]" allUniqueName="[Calendar].[Numero Mes].[All]" dimensionUniqueName="[Calendar]" displayFolder="" count="0" memberValueDatatype="20" unbalanced="0"/>
    <cacheHierarchy uniqueName="[Calendar].[Mes2]" caption="Mes2" attribute="1" time="1" defaultMemberUniqueName="[Calendar].[Mes2].[All]" allUniqueName="[Calendar].[Mes2].[All]" dimensionUniqueName="[Calendar]" displayFolder="" count="2" memberValueDatatype="130" unbalanced="0">
      <fieldsUsage count="2">
        <fieldUsage x="-1"/>
        <fieldUsage x="2"/>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Num Dia]" caption="Num Dia" attribute="1" time="1" defaultMemberUniqueName="[Calendar].[Num Dia].[All]" allUniqueName="[Calendar].[Num Dia].[All]" dimensionUniqueName="[Calendar]" displayFolder="" count="0" memberValueDatatype="20" unbalanced="0"/>
    <cacheHierarchy uniqueName="[Calendar].[Dia de Semana]" caption="Dia de Semana" attribute="1" time="1" defaultMemberUniqueName="[Calendar].[Dia de Semana].[All]" allUniqueName="[Calendar].[Dia de Semana].[All]" dimensionUniqueName="[Calendar]" displayFolder="" count="0" memberValueDatatype="130" unbalanced="0"/>
    <cacheHierarchy uniqueName="[Calendar].[Dia2]" caption="Dia2" attribute="1" time="1" defaultMemberUniqueName="[Calendar].[Dia2].[All]" allUniqueName="[Calendar].[Dia2].[All]" dimensionUniqueName="[Calendar]" displayFolder="" count="0" memberValueDatatype="130" unbalanced="0"/>
    <cacheHierarchy uniqueName="[DatoOrigenRRHH].[DOCUMENTO]" caption="DOCUMENTO" attribute="1" defaultMemberUniqueName="[DatoOrigenRRHH].[DOCUMENTO].[All]" allUniqueName="[DatoOrigenRRHH].[DOCUMENTO].[All]" dimensionUniqueName="[DatoOrigenRRHH]" displayFolder="" count="0" memberValueDatatype="5" unbalanced="0"/>
    <cacheHierarchy uniqueName="[DatoOrigenRRHH].[NOMBRE COMPLETO]" caption="NOMBRE COMPLETO" attribute="1" defaultMemberUniqueName="[DatoOrigenRRHH].[NOMBRE COMPLETO].[All]" allUniqueName="[DatoOrigenRRHH].[NOMBRE COMPLETO].[All]" dimensionUniqueName="[DatoOrigenRRHH]" displayFolder="" count="0" memberValueDatatype="130" unbalanced="0"/>
    <cacheHierarchy uniqueName="[DatoOrigenRRHH].[GENERO]" caption="GENERO" attribute="1" defaultMemberUniqueName="[DatoOrigenRRHH].[GENERO].[All]" allUniqueName="[DatoOrigenRRHH].[GENERO].[All]" dimensionUniqueName="[DatoOrigenRRHH]" displayFolder="" count="0" memberValueDatatype="130" unbalanced="0"/>
    <cacheHierarchy uniqueName="[DatoOrigenRRHH].[AREA]" caption="AREA" attribute="1" defaultMemberUniqueName="[DatoOrigenRRHH].[AREA].[All]" allUniqueName="[DatoOrigenRRHH].[AREA].[All]" dimensionUniqueName="[DatoOrigenRRHH]" displayFolder="" count="0" memberValueDatatype="130" unbalanced="0"/>
    <cacheHierarchy uniqueName="[DatoOrigenRRHH].[CARGO]" caption="CARGO" attribute="1" defaultMemberUniqueName="[DatoOrigenRRHH].[CARGO].[All]" allUniqueName="[DatoOrigenRRHH].[CARGO].[All]" dimensionUniqueName="[DatoOrigenRRHH]" displayFolder="" count="0" memberValueDatatype="130" unbalanced="0"/>
    <cacheHierarchy uniqueName="[DatoOrigenRRHH].[SEDE]" caption="SEDE" attribute="1" defaultMemberUniqueName="[DatoOrigenRRHH].[SEDE].[All]" allUniqueName="[DatoOrigenRRHH].[SEDE].[All]" dimensionUniqueName="[DatoOrigenRRHH]" displayFolder="" count="0" memberValueDatatype="130" unbalanced="0"/>
    <cacheHierarchy uniqueName="[DatoOrigenRRHH].[SALARIO BÁSICO]" caption="SALARIO BÁSICO" attribute="1" defaultMemberUniqueName="[DatoOrigenRRHH].[SALARIO BÁSICO].[All]" allUniqueName="[DatoOrigenRRHH].[SALARIO BÁSICO].[All]" dimensionUniqueName="[DatoOrigenRRHH]" displayFolder="" count="0" memberValueDatatype="5" unbalanced="0"/>
    <cacheHierarchy uniqueName="[DatoOrigenRRHH].[COMISION]" caption="COMISION" attribute="1" defaultMemberUniqueName="[DatoOrigenRRHH].[COMISION].[All]" allUniqueName="[DatoOrigenRRHH].[COMISION].[All]" dimensionUniqueName="[DatoOrigenRRHH]" displayFolder="" count="0" memberValueDatatype="20" unbalanced="0"/>
    <cacheHierarchy uniqueName="[DatoOrigenRRHH].[PROMEDIO DEVENGADO MENSUAL]" caption="PROMEDIO DEVENGADO MENSUAL" attribute="1" defaultMemberUniqueName="[DatoOrigenRRHH].[PROMEDIO DEVENGADO MENSUAL].[All]" allUniqueName="[DatoOrigenRRHH].[PROMEDIO DEVENGADO MENSUAL].[All]" dimensionUniqueName="[DatoOrigenRRHH]" displayFolder="" count="0" memberValueDatatype="5" unbalanced="0"/>
    <cacheHierarchy uniqueName="[DatoOrigenRRHH].[EPS]" caption="EPS" attribute="1" defaultMemberUniqueName="[DatoOrigenRRHH].[EPS].[All]" allUniqueName="[DatoOrigenRRHH].[EPS].[All]" dimensionUniqueName="[DatoOrigenRRHH]" displayFolder="" count="0" memberValueDatatype="130" unbalanced="0"/>
    <cacheHierarchy uniqueName="[DatoOrigenRRHH].[AFP]" caption="AFP" attribute="1" defaultMemberUniqueName="[DatoOrigenRRHH].[AFP].[All]" allUniqueName="[DatoOrigenRRHH].[AFP].[All]" dimensionUniqueName="[DatoOrigenRRHH]" displayFolder="" count="0" memberValueDatatype="130" unbalanced="0"/>
    <cacheHierarchy uniqueName="[DatoOrigenRRHH].[FECHA DE NACIMIENTO]" caption="FECHA DE NACIMIENTO" attribute="1" time="1" defaultMemberUniqueName="[DatoOrigenRRHH].[FECHA DE NACIMIENTO].[All]" allUniqueName="[DatoOrigenRRHH].[FECHA DE NACIMIENTO].[All]" dimensionUniqueName="[DatoOrigenRRHH]" displayFolder="" count="0" memberValueDatatype="7" unbalanced="0"/>
    <cacheHierarchy uniqueName="[DatoOrigenRRHH].[EDAD]" caption="EDAD" attribute="1" defaultMemberUniqueName="[DatoOrigenRRHH].[EDAD].[All]" allUniqueName="[DatoOrigenRRHH].[EDAD].[All]" dimensionUniqueName="[DatoOrigenRRHH]" displayFolder="" count="0" memberValueDatatype="20" unbalanced="0"/>
    <cacheHierarchy uniqueName="[DatoOrigenRRHH].[DIRECCION]" caption="DIRECCION" attribute="1" defaultMemberUniqueName="[DatoOrigenRRHH].[DIRECCION].[All]" allUniqueName="[DatoOrigenRRHH].[DIRECCION].[All]" dimensionUniqueName="[DatoOrigenRRHH]" displayFolder="" count="0" memberValueDatatype="130" unbalanced="0"/>
    <cacheHierarchy uniqueName="[DatoOrigenRRHH].[MUNICIPIO]" caption="MUNICIPIO" attribute="1" defaultMemberUniqueName="[DatoOrigenRRHH].[MUNICIPIO].[All]" allUniqueName="[DatoOrigenRRHH].[MUNICIPIO].[All]" dimensionUniqueName="[DatoOrigenRRHH]" displayFolder="" count="0" memberValueDatatype="130" unbalanced="0"/>
    <cacheHierarchy uniqueName="[DatoOrigenRRHH].[HIJOS]" caption="HIJOS" attribute="1" defaultMemberUniqueName="[DatoOrigenRRHH].[HIJOS].[All]" allUniqueName="[DatoOrigenRRHH].[HIJOS].[All]" dimensionUniqueName="[DatoOrigenRRHH]" displayFolder="" count="0" memberValueDatatype="130" unbalanced="0"/>
    <cacheHierarchy uniqueName="[DatoOrigenRRHH].[FECHA DE INGRESO DD/MM/AAAA]" caption="FECHA DE INGRESO DD/MM/AAAA" attribute="1" time="1" defaultMemberUniqueName="[DatoOrigenRRHH].[FECHA DE INGRESO DD/MM/AAAA].[All]" allUniqueName="[DatoOrigenRRHH].[FECHA DE INGRESO DD/MM/AAAA].[All]" dimensionUniqueName="[DatoOrigenRRHH]" displayFolder="" count="0" memberValueDatatype="7" unbalanced="0"/>
    <cacheHierarchy uniqueName="[DatoOrigenRRHH].[FECHA DE SALIDA DD/MM/AAAA]" caption="FECHA DE SALIDA DD/MM/AAAA" attribute="1" time="1" defaultMemberUniqueName="[DatoOrigenRRHH].[FECHA DE SALIDA DD/MM/AAAA].[All]" allUniqueName="[DatoOrigenRRHH].[FECHA DE SALIDA DD/MM/AAAA].[All]" dimensionUniqueName="[DatoOrigenRRHH]" displayFolder="" count="0" memberValueDatatype="7" unbalanced="0"/>
    <cacheHierarchy uniqueName="[DatoOrigenRRHH].[TIPO DE CONTRATO]" caption="TIPO DE CONTRATO" attribute="1" defaultMemberUniqueName="[DatoOrigenRRHH].[TIPO DE CONTRATO].[All]" allUniqueName="[DatoOrigenRRHH].[TIPO DE CONTRATO].[All]" dimensionUniqueName="[DatoOrigenRRHH]" displayFolder="" count="0" memberValueDatatype="130" unbalanced="0"/>
    <cacheHierarchy uniqueName="[DatoOrigenRRHH].[ANTIGUEDAD AÑOS]" caption="ANTIGUEDAD AÑOS" attribute="1" defaultMemberUniqueName="[DatoOrigenRRHH].[ANTIGUEDAD AÑOS].[All]" allUniqueName="[DatoOrigenRRHH].[ANTIGUEDAD AÑOS].[All]" dimensionUniqueName="[DatoOrigenRRHH]" displayFolder="" count="0" memberValueDatatype="5" unbalanced="0"/>
    <cacheHierarchy uniqueName="[DatoOrigenRRHH].[NIVEL EDUCATIVO]" caption="NIVEL EDUCATIVO" attribute="1" defaultMemberUniqueName="[DatoOrigenRRHH].[NIVEL EDUCATIVO].[All]" allUniqueName="[DatoOrigenRRHH].[NIVEL EDUCATIVO].[All]" dimensionUniqueName="[DatoOrigenRRHH]" displayFolder="" count="0" memberValueDatatype="130" unbalanced="0"/>
    <cacheHierarchy uniqueName="[DatoOrigenRRHH].[ESTADO]" caption="ESTADO" attribute="1" defaultMemberUniqueName="[DatoOrigenRRHH].[ESTADO].[All]" allUniqueName="[DatoOrigenRRHH].[ESTADO].[All]" dimensionUniqueName="[DatoOrigenRRHH]" displayFolder="" count="0" memberValueDatatype="130" unbalanced="0"/>
    <cacheHierarchy uniqueName="[DatoOrigenRRHH].[GRUPO EDAD]" caption="GRUPO EDAD" attribute="1" defaultMemberUniqueName="[DatoOrigenRRHH].[GRUPO EDAD].[All]" allUniqueName="[DatoOrigenRRHH].[GRUPO EDAD].[All]" dimensionUniqueName="[DatoOrigenRRHH]" displayFolder="" count="0" memberValueDatatype="130" unbalanced="0"/>
    <cacheHierarchy uniqueName="[DatoOrigenRRHH].[SEGURO DE VIDA]" caption="SEGURO DE VIDA" attribute="1" defaultMemberUniqueName="[DatoOrigenRRHH].[SEGURO DE VIDA].[All]" allUniqueName="[DatoOrigenRRHH].[SEGURO DE VIDA].[All]" dimensionUniqueName="[DatoOrigenRRHH]" displayFolder="" count="0" memberValueDatatype="130" unbalanced="0"/>
    <cacheHierarchy uniqueName="[DatoOrigenRRHH].[RANGO SALARIAL]" caption="RANGO SALARIAL" attribute="1" defaultMemberUniqueName="[DatoOrigenRRHH].[RANGO SALARIAL].[All]" allUniqueName="[DatoOrigenRRHH].[RANGO SALARIAL].[All]" dimensionUniqueName="[DatoOrigenRRHH]" displayFolder="" count="0" memberValueDatatype="130" unbalanced="0"/>
    <cacheHierarchy uniqueName="[DatoOrigenRRHH].[GENERACION]" caption="GENERACION" attribute="1" defaultMemberUniqueName="[DatoOrigenRRHH].[GENERACION].[All]" allUniqueName="[DatoOrigenRRHH].[GENERACION].[All]" dimensionUniqueName="[DatoOrigenRRHH]" displayFolder="" count="0" memberValueDatatype="130" unbalanced="0"/>
    <cacheHierarchy uniqueName="[DatoOrigenRRHH].[FECHA DE INGRESO DD/MM/AAAA (Year)]" caption="FECHA DE INGRESO DD/MM/AAAA (Year)" attribute="1" defaultMemberUniqueName="[DatoOrigenRRHH].[FECHA DE INGRESO DD/MM/AAAA (Year)].[All]" allUniqueName="[DatoOrigenRRHH].[FECHA DE INGRESO DD/MM/AAAA (Year)].[All]" dimensionUniqueName="[DatoOrigenRRHH]" displayFolder="" count="0" memberValueDatatype="130" unbalanced="0"/>
    <cacheHierarchy uniqueName="[DatoOrigenRRHH].[FECHA DE INGRESO DD/MM/AAAA (Quarter)]" caption="FECHA DE INGRESO DD/MM/AAAA (Quarter)" attribute="1" defaultMemberUniqueName="[DatoOrigenRRHH].[FECHA DE INGRESO DD/MM/AAAA (Quarter)].[All]" allUniqueName="[DatoOrigenRRHH].[FECHA DE INGRESO DD/MM/AAAA (Quarter)].[All]" dimensionUniqueName="[DatoOrigenRRHH]" displayFolder="" count="0" memberValueDatatype="130" unbalanced="0"/>
    <cacheHierarchy uniqueName="[DatoOrigenRRHH].[FECHA DE INGRESO DD/MM/AAAA (Month)]" caption="FECHA DE INGRESO DD/MM/AAAA (Month)" attribute="1" defaultMemberUniqueName="[DatoOrigenRRHH].[FECHA DE INGRESO DD/MM/AAAA (Month)].[All]" allUniqueName="[DatoOrigenRRHH].[FECHA DE INGRESO DD/MM/AAAA (Month)].[All]" dimensionUniqueName="[DatoOrigenRRHH]" displayFolder="" count="0" memberValueDatatype="130" unbalanced="0"/>
    <cacheHierarchy uniqueName="[DatoOrigenRRHH].[FECHA DE INGRESO DD/MM/AAAA (Month Index)]" caption="FECHA DE INGRESO DD/MM/AAAA (Month Index)" attribute="1" defaultMemberUniqueName="[DatoOrigenRRHH].[FECHA DE INGRESO DD/MM/AAAA (Month Index)].[All]" allUniqueName="[DatoOrigenRRHH].[FECHA DE INGRESO DD/MM/AAAA (Month Index)].[All]" dimensionUniqueName="[DatoOrigenRRHH]" displayFolder="" count="0" memberValueDatatype="20" unbalanced="0" hidden="1"/>
    <cacheHierarchy uniqueName="[Measures].[Cantidad Empleados]" caption="Cantidad Emplead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cacheHierarchy uniqueName="[Measures].[Cantidad Inactivos]" caption="Cantidad Inactivos" measure="1" displayFolder="" measureGroup="DatoOrigenRRHH" count="0"/>
    <cacheHierarchy uniqueName="[Measures].[Cantidad Activos]" caption="Cantidad Activ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cacheHierarchy uniqueName="[Measures].[Total Empleados]" caption="Total Empleados" measure="1" displayFolder="" measureGroup="DatoOrigenRRHH" count="0" oneField="1">
      <fieldsUsage count="1">
        <fieldUsage x="0"/>
      </fieldsUsage>
    </cacheHierarchy>
    <cacheHierarchy uniqueName="[Measures].[__XL_Count DatoOrigenRRHH]" caption="__XL_Count DatoOrigenRRHH" measure="1" displayFolder="" measureGroup="DatoOrigenRRHH"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GENERACION]" caption="Count of GENERACION" measure="1" displayFolder="" measureGroup="DatoOrigenRRHH" count="0" hidden="1">
      <extLst>
        <ext xmlns:x15="http://schemas.microsoft.com/office/spreadsheetml/2010/11/main" uri="{B97F6D7D-B522-45F9-BDA1-12C45D357490}">
          <x15:cacheHierarchy aggregatedColumn="34"/>
        </ext>
      </extLst>
    </cacheHierarchy>
    <cacheHierarchy uniqueName="[Measures].[Count of CARGO]" caption="Count of CARGO" measure="1" displayFolder="" measureGroup="DatoOrigenRRHH" count="0" hidden="1">
      <extLst>
        <ext xmlns:x15="http://schemas.microsoft.com/office/spreadsheetml/2010/11/main" uri="{B97F6D7D-B522-45F9-BDA1-12C45D357490}">
          <x15:cacheHierarchy aggregatedColumn="13"/>
        </ext>
      </extLst>
    </cacheHierarchy>
    <cacheHierarchy uniqueName="[Measures].[Sum of EDAD]" caption="Sum of EDAD" measure="1" displayFolder="" measureGroup="DatoOrigenRRHH"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name="DatoOrigenRRHH" uniqueName="[DatoOrigenRRHH]" caption="DatoOrigenRRHH"/>
    <dimension measure="1" name="Measures" uniqueName="[Measures]" caption="Measures"/>
  </dimensions>
  <measureGroups count="2">
    <measureGroup name="Calendar" caption="Calendar"/>
    <measureGroup name="DatoOrigenRRHH" caption="DatoOrigenRRHH"/>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zarous" refreshedDate="45880.663205092591" createdVersion="3" refreshedVersion="8" minRefreshableVersion="3" recordCount="0" supportSubquery="1" supportAdvancedDrill="1" xr:uid="{562C6066-DE44-4C17-A0A7-3FEF11ADEC28}">
  <cacheSource type="external" connectionId="3">
    <extLst>
      <ext xmlns:x14="http://schemas.microsoft.com/office/spreadsheetml/2009/9/main" uri="{F057638F-6D5F-4e77-A914-E7F072B9BCA8}">
        <x14:sourceConnection name="ThisWorkbookDataModel"/>
      </ext>
    </extLst>
  </cacheSource>
  <cacheFields count="0"/>
  <cacheHierarchies count="53">
    <cacheHierarchy uniqueName="[Calendar].[Date]" caption="Date" attribute="1" time="1" keyAttribute="1" defaultMemberUniqueName="[Calendar].[Date].[All]" allUniqueName="[Calendar].[Date].[All]" dimensionUniqueName="[Calendar]" displayFolder="" count="0" memberValueDatatype="7" unbalanced="0"/>
    <cacheHierarchy uniqueName="[Calendar].[Año2]" caption="Año2" attribute="1" time="1" defaultMemberUniqueName="[Calendar].[Año2].[All]" allUniqueName="[Calendar].[Año2].[All]" dimensionUniqueName="[Calendar]" displayFolder="" count="2" memberValueDatatype="20" unbalanced="0"/>
    <cacheHierarchy uniqueName="[Calendar].[Date Hierarchy]" caption="Date Hierarchy" time="1" defaultMemberUniqueName="[Calendar].[Date Hierarchy].[All]" allUniqueName="[Calendar].[Date Hierarchy].[All]" dimensionUniqueName="[Calendar]" displayFolder="" count="0" unbalanced="0"/>
    <cacheHierarchy uniqueName="[Calendar].[Numero Mes]" caption="Numero Mes" attribute="1" time="1" defaultMemberUniqueName="[Calendar].[Numero Mes].[All]" allUniqueName="[Calendar].[Numero Mes].[All]" dimensionUniqueName="[Calendar]" displayFolder="" count="0" memberValueDatatype="20" unbalanced="0"/>
    <cacheHierarchy uniqueName="[Calendar].[Mes2]" caption="Mes2" attribute="1" time="1" defaultMemberUniqueName="[Calendar].[Mes2].[All]" allUniqueName="[Calendar].[Mes2].[All]" dimensionUniqueName="[Calendar]" displayFolder="" count="2"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Num Dia]" caption="Num Dia" attribute="1" time="1" defaultMemberUniqueName="[Calendar].[Num Dia].[All]" allUniqueName="[Calendar].[Num Dia].[All]" dimensionUniqueName="[Calendar]" displayFolder="" count="0" memberValueDatatype="20" unbalanced="0"/>
    <cacheHierarchy uniqueName="[Calendar].[Dia de Semana]" caption="Dia de Semana" attribute="1" time="1" defaultMemberUniqueName="[Calendar].[Dia de Semana].[All]" allUniqueName="[Calendar].[Dia de Semana].[All]" dimensionUniqueName="[Calendar]" displayFolder="" count="0" memberValueDatatype="130" unbalanced="0"/>
    <cacheHierarchy uniqueName="[Calendar].[Dia2]" caption="Dia2" attribute="1" time="1" defaultMemberUniqueName="[Calendar].[Dia2].[All]" allUniqueName="[Calendar].[Dia2].[All]" dimensionUniqueName="[Calendar]" displayFolder="" count="0" memberValueDatatype="130" unbalanced="0"/>
    <cacheHierarchy uniqueName="[DatoOrigenRRHH].[DOCUMENTO]" caption="DOCUMENTO" attribute="1" defaultMemberUniqueName="[DatoOrigenRRHH].[DOCUMENTO].[All]" allUniqueName="[DatoOrigenRRHH].[DOCUMENTO].[All]" dimensionUniqueName="[DatoOrigenRRHH]" displayFolder="" count="0" memberValueDatatype="5" unbalanced="0"/>
    <cacheHierarchy uniqueName="[DatoOrigenRRHH].[NOMBRE COMPLETO]" caption="NOMBRE COMPLETO" attribute="1" defaultMemberUniqueName="[DatoOrigenRRHH].[NOMBRE COMPLETO].[All]" allUniqueName="[DatoOrigenRRHH].[NOMBRE COMPLETO].[All]" dimensionUniqueName="[DatoOrigenRRHH]" displayFolder="" count="0" memberValueDatatype="130" unbalanced="0"/>
    <cacheHierarchy uniqueName="[DatoOrigenRRHH].[GENERO]" caption="GENERO" attribute="1" defaultMemberUniqueName="[DatoOrigenRRHH].[GENERO].[All]" allUniqueName="[DatoOrigenRRHH].[GENERO].[All]" dimensionUniqueName="[DatoOrigenRRHH]" displayFolder="" count="0" memberValueDatatype="130" unbalanced="0"/>
    <cacheHierarchy uniqueName="[DatoOrigenRRHH].[AREA]" caption="AREA" attribute="1" defaultMemberUniqueName="[DatoOrigenRRHH].[AREA].[All]" allUniqueName="[DatoOrigenRRHH].[AREA].[All]" dimensionUniqueName="[DatoOrigenRRHH]" displayFolder="" count="0" memberValueDatatype="130" unbalanced="0"/>
    <cacheHierarchy uniqueName="[DatoOrigenRRHH].[CARGO]" caption="CARGO" attribute="1" defaultMemberUniqueName="[DatoOrigenRRHH].[CARGO].[All]" allUniqueName="[DatoOrigenRRHH].[CARGO].[All]" dimensionUniqueName="[DatoOrigenRRHH]" displayFolder="" count="0" memberValueDatatype="130" unbalanced="0"/>
    <cacheHierarchy uniqueName="[DatoOrigenRRHH].[SEDE]" caption="SEDE" attribute="1" defaultMemberUniqueName="[DatoOrigenRRHH].[SEDE].[All]" allUniqueName="[DatoOrigenRRHH].[SEDE].[All]" dimensionUniqueName="[DatoOrigenRRHH]" displayFolder="" count="0" memberValueDatatype="130" unbalanced="0"/>
    <cacheHierarchy uniqueName="[DatoOrigenRRHH].[SALARIO BÁSICO]" caption="SALARIO BÁSICO" attribute="1" defaultMemberUniqueName="[DatoOrigenRRHH].[SALARIO BÁSICO].[All]" allUniqueName="[DatoOrigenRRHH].[SALARIO BÁSICO].[All]" dimensionUniqueName="[DatoOrigenRRHH]" displayFolder="" count="0" memberValueDatatype="5" unbalanced="0"/>
    <cacheHierarchy uniqueName="[DatoOrigenRRHH].[COMISION]" caption="COMISION" attribute="1" defaultMemberUniqueName="[DatoOrigenRRHH].[COMISION].[All]" allUniqueName="[DatoOrigenRRHH].[COMISION].[All]" dimensionUniqueName="[DatoOrigenRRHH]" displayFolder="" count="0" memberValueDatatype="20" unbalanced="0"/>
    <cacheHierarchy uniqueName="[DatoOrigenRRHH].[PROMEDIO DEVENGADO MENSUAL]" caption="PROMEDIO DEVENGADO MENSUAL" attribute="1" defaultMemberUniqueName="[DatoOrigenRRHH].[PROMEDIO DEVENGADO MENSUAL].[All]" allUniqueName="[DatoOrigenRRHH].[PROMEDIO DEVENGADO MENSUAL].[All]" dimensionUniqueName="[DatoOrigenRRHH]" displayFolder="" count="0" memberValueDatatype="5" unbalanced="0"/>
    <cacheHierarchy uniqueName="[DatoOrigenRRHH].[EPS]" caption="EPS" attribute="1" defaultMemberUniqueName="[DatoOrigenRRHH].[EPS].[All]" allUniqueName="[DatoOrigenRRHH].[EPS].[All]" dimensionUniqueName="[DatoOrigenRRHH]" displayFolder="" count="0" memberValueDatatype="130" unbalanced="0"/>
    <cacheHierarchy uniqueName="[DatoOrigenRRHH].[AFP]" caption="AFP" attribute="1" defaultMemberUniqueName="[DatoOrigenRRHH].[AFP].[All]" allUniqueName="[DatoOrigenRRHH].[AFP].[All]" dimensionUniqueName="[DatoOrigenRRHH]" displayFolder="" count="0" memberValueDatatype="130" unbalanced="0"/>
    <cacheHierarchy uniqueName="[DatoOrigenRRHH].[FECHA DE NACIMIENTO]" caption="FECHA DE NACIMIENTO" attribute="1" time="1" defaultMemberUniqueName="[DatoOrigenRRHH].[FECHA DE NACIMIENTO].[All]" allUniqueName="[DatoOrigenRRHH].[FECHA DE NACIMIENTO].[All]" dimensionUniqueName="[DatoOrigenRRHH]" displayFolder="" count="0" memberValueDatatype="7" unbalanced="0"/>
    <cacheHierarchy uniqueName="[DatoOrigenRRHH].[EDAD]" caption="EDAD" attribute="1" defaultMemberUniqueName="[DatoOrigenRRHH].[EDAD].[All]" allUniqueName="[DatoOrigenRRHH].[EDAD].[All]" dimensionUniqueName="[DatoOrigenRRHH]" displayFolder="" count="0" memberValueDatatype="20" unbalanced="0"/>
    <cacheHierarchy uniqueName="[DatoOrigenRRHH].[DIRECCION]" caption="DIRECCION" attribute="1" defaultMemberUniqueName="[DatoOrigenRRHH].[DIRECCION].[All]" allUniqueName="[DatoOrigenRRHH].[DIRECCION].[All]" dimensionUniqueName="[DatoOrigenRRHH]" displayFolder="" count="0" memberValueDatatype="130" unbalanced="0"/>
    <cacheHierarchy uniqueName="[DatoOrigenRRHH].[MUNICIPIO]" caption="MUNICIPIO" attribute="1" defaultMemberUniqueName="[DatoOrigenRRHH].[MUNICIPIO].[All]" allUniqueName="[DatoOrigenRRHH].[MUNICIPIO].[All]" dimensionUniqueName="[DatoOrigenRRHH]" displayFolder="" count="0" memberValueDatatype="130" unbalanced="0"/>
    <cacheHierarchy uniqueName="[DatoOrigenRRHH].[HIJOS]" caption="HIJOS" attribute="1" defaultMemberUniqueName="[DatoOrigenRRHH].[HIJOS].[All]" allUniqueName="[DatoOrigenRRHH].[HIJOS].[All]" dimensionUniqueName="[DatoOrigenRRHH]" displayFolder="" count="0" memberValueDatatype="130" unbalanced="0"/>
    <cacheHierarchy uniqueName="[DatoOrigenRRHH].[FECHA DE INGRESO DD/MM/AAAA]" caption="FECHA DE INGRESO DD/MM/AAAA" attribute="1" time="1" defaultMemberUniqueName="[DatoOrigenRRHH].[FECHA DE INGRESO DD/MM/AAAA].[All]" allUniqueName="[DatoOrigenRRHH].[FECHA DE INGRESO DD/MM/AAAA].[All]" dimensionUniqueName="[DatoOrigenRRHH]" displayFolder="" count="0" memberValueDatatype="7" unbalanced="0"/>
    <cacheHierarchy uniqueName="[DatoOrigenRRHH].[FECHA DE SALIDA DD/MM/AAAA]" caption="FECHA DE SALIDA DD/MM/AAAA" attribute="1" time="1" defaultMemberUniqueName="[DatoOrigenRRHH].[FECHA DE SALIDA DD/MM/AAAA].[All]" allUniqueName="[DatoOrigenRRHH].[FECHA DE SALIDA DD/MM/AAAA].[All]" dimensionUniqueName="[DatoOrigenRRHH]" displayFolder="" count="0" memberValueDatatype="7" unbalanced="0"/>
    <cacheHierarchy uniqueName="[DatoOrigenRRHH].[TIPO DE CONTRATO]" caption="TIPO DE CONTRATO" attribute="1" defaultMemberUniqueName="[DatoOrigenRRHH].[TIPO DE CONTRATO].[All]" allUniqueName="[DatoOrigenRRHH].[TIPO DE CONTRATO].[All]" dimensionUniqueName="[DatoOrigenRRHH]" displayFolder="" count="0" memberValueDatatype="130" unbalanced="0"/>
    <cacheHierarchy uniqueName="[DatoOrigenRRHH].[ANTIGUEDAD AÑOS]" caption="ANTIGUEDAD AÑOS" attribute="1" defaultMemberUniqueName="[DatoOrigenRRHH].[ANTIGUEDAD AÑOS].[All]" allUniqueName="[DatoOrigenRRHH].[ANTIGUEDAD AÑOS].[All]" dimensionUniqueName="[DatoOrigenRRHH]" displayFolder="" count="0" memberValueDatatype="5" unbalanced="0"/>
    <cacheHierarchy uniqueName="[DatoOrigenRRHH].[NIVEL EDUCATIVO]" caption="NIVEL EDUCATIVO" attribute="1" defaultMemberUniqueName="[DatoOrigenRRHH].[NIVEL EDUCATIVO].[All]" allUniqueName="[DatoOrigenRRHH].[NIVEL EDUCATIVO].[All]" dimensionUniqueName="[DatoOrigenRRHH]" displayFolder="" count="0" memberValueDatatype="130" unbalanced="0"/>
    <cacheHierarchy uniqueName="[DatoOrigenRRHH].[ESTADO]" caption="ESTADO" attribute="1" defaultMemberUniqueName="[DatoOrigenRRHH].[ESTADO].[All]" allUniqueName="[DatoOrigenRRHH].[ESTADO].[All]" dimensionUniqueName="[DatoOrigenRRHH]" displayFolder="" count="0" memberValueDatatype="130" unbalanced="0"/>
    <cacheHierarchy uniqueName="[DatoOrigenRRHH].[GRUPO EDAD]" caption="GRUPO EDAD" attribute="1" defaultMemberUniqueName="[DatoOrigenRRHH].[GRUPO EDAD].[All]" allUniqueName="[DatoOrigenRRHH].[GRUPO EDAD].[All]" dimensionUniqueName="[DatoOrigenRRHH]" displayFolder="" count="0" memberValueDatatype="130" unbalanced="0"/>
    <cacheHierarchy uniqueName="[DatoOrigenRRHH].[SEGURO DE VIDA]" caption="SEGURO DE VIDA" attribute="1" defaultMemberUniqueName="[DatoOrigenRRHH].[SEGURO DE VIDA].[All]" allUniqueName="[DatoOrigenRRHH].[SEGURO DE VIDA].[All]" dimensionUniqueName="[DatoOrigenRRHH]" displayFolder="" count="0" memberValueDatatype="130" unbalanced="0"/>
    <cacheHierarchy uniqueName="[DatoOrigenRRHH].[RANGO SALARIAL]" caption="RANGO SALARIAL" attribute="1" defaultMemberUniqueName="[DatoOrigenRRHH].[RANGO SALARIAL].[All]" allUniqueName="[DatoOrigenRRHH].[RANGO SALARIAL].[All]" dimensionUniqueName="[DatoOrigenRRHH]" displayFolder="" count="0" memberValueDatatype="130" unbalanced="0"/>
    <cacheHierarchy uniqueName="[DatoOrigenRRHH].[GENERACION]" caption="GENERACION" attribute="1" defaultMemberUniqueName="[DatoOrigenRRHH].[GENERACION].[All]" allUniqueName="[DatoOrigenRRHH].[GENERACION].[All]" dimensionUniqueName="[DatoOrigenRRHH]" displayFolder="" count="0" memberValueDatatype="130" unbalanced="0"/>
    <cacheHierarchy uniqueName="[DatoOrigenRRHH].[FECHA DE INGRESO DD/MM/AAAA (Year)]" caption="FECHA DE INGRESO DD/MM/AAAA (Year)" attribute="1" defaultMemberUniqueName="[DatoOrigenRRHH].[FECHA DE INGRESO DD/MM/AAAA (Year)].[All]" allUniqueName="[DatoOrigenRRHH].[FECHA DE INGRESO DD/MM/AAAA (Year)].[All]" dimensionUniqueName="[DatoOrigenRRHH]" displayFolder="" count="0" memberValueDatatype="130" unbalanced="0"/>
    <cacheHierarchy uniqueName="[DatoOrigenRRHH].[FECHA DE INGRESO DD/MM/AAAA (Quarter)]" caption="FECHA DE INGRESO DD/MM/AAAA (Quarter)" attribute="1" defaultMemberUniqueName="[DatoOrigenRRHH].[FECHA DE INGRESO DD/MM/AAAA (Quarter)].[All]" allUniqueName="[DatoOrigenRRHH].[FECHA DE INGRESO DD/MM/AAAA (Quarter)].[All]" dimensionUniqueName="[DatoOrigenRRHH]" displayFolder="" count="0" memberValueDatatype="130" unbalanced="0"/>
    <cacheHierarchy uniqueName="[DatoOrigenRRHH].[FECHA DE INGRESO DD/MM/AAAA (Month)]" caption="FECHA DE INGRESO DD/MM/AAAA (Month)" attribute="1" defaultMemberUniqueName="[DatoOrigenRRHH].[FECHA DE INGRESO DD/MM/AAAA (Month)].[All]" allUniqueName="[DatoOrigenRRHH].[FECHA DE INGRESO DD/MM/AAAA (Month)].[All]" dimensionUniqueName="[DatoOrigenRRHH]" displayFolder="" count="0" memberValueDatatype="130" unbalanced="0"/>
    <cacheHierarchy uniqueName="[DatoOrigenRRHH].[FECHA DE INGRESO DD/MM/AAAA (Month Index)]" caption="FECHA DE INGRESO DD/MM/AAAA (Month Index)" attribute="1" defaultMemberUniqueName="[DatoOrigenRRHH].[FECHA DE INGRESO DD/MM/AAAA (Month Index)].[All]" allUniqueName="[DatoOrigenRRHH].[FECHA DE INGRESO DD/MM/AAAA (Month Index)].[All]" dimensionUniqueName="[DatoOrigenRRHH]" displayFolder="" count="0" memberValueDatatype="20" unbalanced="0" hidden="1"/>
    <cacheHierarchy uniqueName="[Measures].[Cantidad Empleados]" caption="Cantidad Emplead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cacheHierarchy uniqueName="[Measures].[Cantidad Inactivos]" caption="Cantidad Inactivos" measure="1" displayFolder="" measureGroup="DatoOrigenRRHH" count="0"/>
    <cacheHierarchy uniqueName="[Measures].[Cantidad Activos]" caption="Cantidad Activos" measure="1" displayFolder="" measureGroup="DatoOrigenRRHH" count="0"/>
    <cacheHierarchy uniqueName="[Measures].[%Mujeres]" caption="%Mujeres" measure="1" displayFolder="" measureGroup="DatoOrigenRRHH" count="0"/>
    <cacheHierarchy uniqueName="[Measures].[%Hombres]" caption="%Hombres" measure="1" displayFolder="" measureGroup="DatoOrigenRRHH" count="0"/>
    <cacheHierarchy uniqueName="[Measures].[Total Empleados]" caption="Total Empleados" measure="1" displayFolder="" measureGroup="DatoOrigenRRHH" count="0"/>
    <cacheHierarchy uniqueName="[Measures].[__XL_Count DatoOrigenRRHH]" caption="__XL_Count DatoOrigenRRHH" measure="1" displayFolder="" measureGroup="DatoOrigenRRHH"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GENERACION]" caption="Count of GENERACION" measure="1" displayFolder="" measureGroup="DatoOrigenRRHH" count="0" hidden="1">
      <extLst>
        <ext xmlns:x15="http://schemas.microsoft.com/office/spreadsheetml/2010/11/main" uri="{B97F6D7D-B522-45F9-BDA1-12C45D357490}">
          <x15:cacheHierarchy aggregatedColumn="34"/>
        </ext>
      </extLst>
    </cacheHierarchy>
    <cacheHierarchy uniqueName="[Measures].[Count of CARGO]" caption="Count of CARGO" measure="1" displayFolder="" measureGroup="DatoOrigenRRHH" count="0" hidden="1">
      <extLst>
        <ext xmlns:x15="http://schemas.microsoft.com/office/spreadsheetml/2010/11/main" uri="{B97F6D7D-B522-45F9-BDA1-12C45D357490}">
          <x15:cacheHierarchy aggregatedColumn="13"/>
        </ext>
      </extLst>
    </cacheHierarchy>
    <cacheHierarchy uniqueName="[Measures].[Sum of EDAD]" caption="Sum of EDAD" measure="1" displayFolder="" measureGroup="DatoOrigenRRHH" count="0" hidden="1">
      <extLst>
        <ext xmlns:x15="http://schemas.microsoft.com/office/spreadsheetml/2010/11/main" uri="{B97F6D7D-B522-45F9-BDA1-12C45D357490}">
          <x15:cacheHierarchy aggregatedColumn="21"/>
        </ext>
      </extLst>
    </cacheHierarchy>
  </cacheHierarchies>
  <kpis count="0"/>
  <extLst>
    <ext xmlns:x14="http://schemas.microsoft.com/office/spreadsheetml/2009/9/main" uri="{725AE2AE-9491-48be-B2B4-4EB974FC3084}">
      <x14:pivotCacheDefinition slicerData="1" pivotCacheId="73135138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1CADF2-D9CC-4309-9F3B-D932E2CEE95C}" name="PTEmpleadoPorEdadPorGeneacion" cacheId="6" applyNumberFormats="0" applyBorderFormats="0" applyFontFormats="0" applyPatternFormats="0" applyAlignmentFormats="0" applyWidthHeightFormats="1" dataCaption="Values" grandTotalCaption="Total General" tag="9604529d-19df-483a-a339-db50618d7996" updatedVersion="8" minRefreshableVersion="3" useAutoFormatting="1" subtotalHiddenItems="1" itemPrintTitles="1" createdVersion="5" indent="0" outline="1" outlineData="1" multipleFieldFilters="0" chartFormat="32" rowHeaderCaption="Grupo de Edad" colHeaderCaption="Generacion">
  <location ref="D27:I43" firstHeaderRow="1" firstDataRow="2" firstDataCol="1"/>
  <pivotFields count="5">
    <pivotField dataField="1" subtotalTop="0" showAll="0" defaultSubtotal="0"/>
    <pivotField axis="axisRow" allDrilled="1" subtotalTop="0" showAll="0" dataSourceSort="1" defaultSubtotal="0" defaultAttributeDrillState="1">
      <items count="3">
        <item x="0"/>
        <item x="1"/>
        <item x="2"/>
      </items>
    </pivotField>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2">
    <field x="1"/>
    <field x="2"/>
  </rowFields>
  <rowItems count="15">
    <i>
      <x/>
    </i>
    <i r="1">
      <x/>
    </i>
    <i r="1">
      <x v="1"/>
    </i>
    <i r="1">
      <x v="2"/>
    </i>
    <i r="1">
      <x v="3"/>
    </i>
    <i>
      <x v="1"/>
    </i>
    <i r="1">
      <x/>
    </i>
    <i r="1">
      <x v="1"/>
    </i>
    <i r="1">
      <x v="2"/>
    </i>
    <i r="1">
      <x v="3"/>
    </i>
    <i>
      <x v="2"/>
    </i>
    <i r="1">
      <x/>
    </i>
    <i r="1">
      <x v="1"/>
    </i>
    <i r="1">
      <x v="3"/>
    </i>
    <i t="grand">
      <x/>
    </i>
  </rowItems>
  <colFields count="1">
    <field x="3"/>
  </colFields>
  <colItems count="5">
    <i>
      <x/>
    </i>
    <i>
      <x v="1"/>
    </i>
    <i>
      <x v="2"/>
    </i>
    <i>
      <x v="3"/>
    </i>
    <i t="grand">
      <x/>
    </i>
  </colItems>
  <dataFields count="1">
    <dataField fld="0" subtotal="count" baseField="0" baseItem="0"/>
  </dataFields>
  <chartFormats count="8">
    <chartFormat chart="22" format="4" series="1">
      <pivotArea type="data" outline="0" fieldPosition="0">
        <references count="2">
          <reference field="4294967294" count="1" selected="0">
            <x v="0"/>
          </reference>
          <reference field="3" count="1" selected="0">
            <x v="0"/>
          </reference>
        </references>
      </pivotArea>
    </chartFormat>
    <chartFormat chart="22" format="5" series="1">
      <pivotArea type="data" outline="0" fieldPosition="0">
        <references count="2">
          <reference field="4294967294" count="1" selected="0">
            <x v="0"/>
          </reference>
          <reference field="3" count="1" selected="0">
            <x v="1"/>
          </reference>
        </references>
      </pivotArea>
    </chartFormat>
    <chartFormat chart="22" format="6" series="1">
      <pivotArea type="data" outline="0" fieldPosition="0">
        <references count="2">
          <reference field="4294967294" count="1" selected="0">
            <x v="0"/>
          </reference>
          <reference field="3" count="1" selected="0">
            <x v="2"/>
          </reference>
        </references>
      </pivotArea>
    </chartFormat>
    <chartFormat chart="22" format="7" series="1">
      <pivotArea type="data" outline="0" fieldPosition="0">
        <references count="2">
          <reference field="4294967294" count="1" selected="0">
            <x v="0"/>
          </reference>
          <reference field="3" count="1" selected="0">
            <x v="3"/>
          </reference>
        </references>
      </pivotArea>
    </chartFormat>
    <chartFormat chart="23" format="8" series="1">
      <pivotArea type="data" outline="0" fieldPosition="0">
        <references count="2">
          <reference field="4294967294" count="1" selected="0">
            <x v="0"/>
          </reference>
          <reference field="3" count="1" selected="0">
            <x v="0"/>
          </reference>
        </references>
      </pivotArea>
    </chartFormat>
    <chartFormat chart="23" format="9" series="1">
      <pivotArea type="data" outline="0" fieldPosition="0">
        <references count="2">
          <reference field="4294967294" count="1" selected="0">
            <x v="0"/>
          </reference>
          <reference field="3" count="1" selected="0">
            <x v="1"/>
          </reference>
        </references>
      </pivotArea>
    </chartFormat>
    <chartFormat chart="23" format="10" series="1">
      <pivotArea type="data" outline="0" fieldPosition="0">
        <references count="2">
          <reference field="4294967294" count="1" selected="0">
            <x v="0"/>
          </reference>
          <reference field="3" count="1" selected="0">
            <x v="2"/>
          </reference>
        </references>
      </pivotArea>
    </chartFormat>
    <chartFormat chart="23" format="11" series="1">
      <pivotArea type="data" outline="0" fieldPosition="0">
        <references count="2">
          <reference field="4294967294" count="1" selected="0">
            <x v="0"/>
          </reference>
          <reference field="3" count="1" selected="0">
            <x v="3"/>
          </reference>
        </references>
      </pivotArea>
    </chartFormat>
  </chartFormats>
  <pivotHierarchies count="53">
    <pivotHierarchy dragToData="1"/>
    <pivotHierarchy multipleItemSelectionAllowed="1"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31"/>
    <rowHierarchyUsage hierarchyUsage="12"/>
  </rowHierarchiesUsage>
  <colHierarchiesUsage count="1">
    <colHierarchyUsage hierarchyUsage="3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DatoOrigenRRH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D242583-D168-474B-8C93-1B0188ED5523}" name="PTPorcientoMujeres" cacheId="8" applyNumberFormats="0" applyBorderFormats="0" applyFontFormats="0" applyPatternFormats="0" applyAlignmentFormats="0" applyWidthHeightFormats="1" dataCaption="Values" tag="3d647b29-d89f-4b49-b68d-b47807e2ec67" updatedVersion="8" minRefreshableVersion="3" useAutoFormatting="1" subtotalHiddenItems="1" itemPrintTitles="1" createdVersion="5" indent="0" outline="1" outlineData="1" multipleFieldFilters="0">
  <location ref="F3:F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53">
    <pivotHierarchy dragToData="1"/>
    <pivotHierarchy multipleItemSelectionAllowed="1"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DatoOrigenRRH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2D43A61-844E-4CA0-A340-FED8E78B2B56}" name="PTEmpleadoPorContratoPorSalario" cacheId="5" applyNumberFormats="0" applyBorderFormats="0" applyFontFormats="0" applyPatternFormats="0" applyAlignmentFormats="0" applyWidthHeightFormats="1" dataCaption="Values" grandTotalCaption="Total General" tag="79a64c7c-0299-4ef5-9fb8-cde2f99ae145" updatedVersion="8" minRefreshableVersion="3" useAutoFormatting="1" subtotalHiddenItems="1" itemPrintTitles="1" createdVersion="5" indent="0" outline="1" outlineData="1" multipleFieldFilters="0" chartFormat="31" rowHeaderCaption="Rango Salarial" colHeaderCaption="Tipo Contrato">
  <location ref="D20:I25" firstHeaderRow="1" firstDataRow="2" firstDataCol="1"/>
  <pivotFields count="4">
    <pivotField dataField="1" subtotalTop="0" showAll="0" defaultSubtotal="0"/>
    <pivotField axis="axisRow" allDrilled="1" subtotalTop="0" showAll="0" dataSourceSort="1" defaultSubtotal="0" defaultAttributeDrillState="1">
      <items count="3">
        <item x="0"/>
        <item x="1"/>
        <item x="2"/>
      </items>
    </pivotField>
    <pivotField axis="axisCol"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4">
    <i>
      <x/>
    </i>
    <i>
      <x v="1"/>
    </i>
    <i>
      <x v="2"/>
    </i>
    <i t="grand">
      <x/>
    </i>
  </rowItems>
  <colFields count="1">
    <field x="2"/>
  </colFields>
  <colItems count="5">
    <i>
      <x/>
    </i>
    <i>
      <x v="1"/>
    </i>
    <i>
      <x v="2"/>
    </i>
    <i>
      <x v="3"/>
    </i>
    <i t="grand">
      <x/>
    </i>
  </colItems>
  <dataFields count="1">
    <dataField fld="0" subtotal="count" baseField="0" baseItem="0"/>
  </dataFields>
  <chartFormats count="4">
    <chartFormat chart="21" format="16" series="1">
      <pivotArea type="data" outline="0" fieldPosition="0">
        <references count="2">
          <reference field="4294967294" count="1" selected="0">
            <x v="0"/>
          </reference>
          <reference field="2" count="1" selected="0">
            <x v="0"/>
          </reference>
        </references>
      </pivotArea>
    </chartFormat>
    <chartFormat chart="21" format="17" series="1">
      <pivotArea type="data" outline="0" fieldPosition="0">
        <references count="2">
          <reference field="4294967294" count="1" selected="0">
            <x v="0"/>
          </reference>
          <reference field="2" count="1" selected="0">
            <x v="1"/>
          </reference>
        </references>
      </pivotArea>
    </chartFormat>
    <chartFormat chart="21" format="18" series="1">
      <pivotArea type="data" outline="0" fieldPosition="0">
        <references count="2">
          <reference field="4294967294" count="1" selected="0">
            <x v="0"/>
          </reference>
          <reference field="2" count="1" selected="0">
            <x v="2"/>
          </reference>
        </references>
      </pivotArea>
    </chartFormat>
    <chartFormat chart="21" format="19" series="1">
      <pivotArea type="data" outline="0" fieldPosition="0">
        <references count="2">
          <reference field="4294967294" count="1" selected="0">
            <x v="0"/>
          </reference>
          <reference field="2" count="1" selected="0">
            <x v="3"/>
          </reference>
        </references>
      </pivotArea>
    </chartFormat>
  </chartFormats>
  <pivotHierarchies count="53">
    <pivotHierarchy dragToData="1"/>
    <pivotHierarchy multipleItemSelectionAllowed="1"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3"/>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DatoOrigenRRH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80403A2-62AF-4C36-A18A-0461F13CA501}" name="PTTotalEmpleado" cacheId="9" applyNumberFormats="0" applyBorderFormats="0" applyFontFormats="0" applyPatternFormats="0" applyAlignmentFormats="0" applyWidthHeightFormats="1" dataCaption="Values" tag="e782d793-db78-4af5-b926-f47090da3ba3" updatedVersion="8" minRefreshableVersion="3" useAutoFormatting="1" subtotalHiddenItems="1" itemPrintTitles="1" createdVersion="5"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53">
    <pivotHierarchy dragToData="1"/>
    <pivotHierarchy multipleItemSelectionAllowed="1"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DatoOrigenRRH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7558C0B-A31B-4F47-928A-218EE99664D8}" name="PTCantidadActivo" cacheId="1" applyNumberFormats="0" applyBorderFormats="0" applyFontFormats="0" applyPatternFormats="0" applyAlignmentFormats="0" applyWidthHeightFormats="1" dataCaption="Values" tag="052cff91-389b-4cbd-bdc0-72694396e12e" updatedVersion="8" minRefreshableVersion="3" useAutoFormatting="1" subtotalHiddenItems="1" itemPrintTitles="1" createdVersion="5" indent="0" outline="1" outlineData="1" multipleFieldFilters="0">
  <location ref="B3:B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53">
    <pivotHierarchy dragToData="1"/>
    <pivotHierarchy multipleItemSelectionAllowed="1"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DatoOrigenRRH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4BB5B29-859E-4079-B7E4-E3816135A660}" name="PTPorcientoHombres" cacheId="7" applyNumberFormats="0" applyBorderFormats="0" applyFontFormats="0" applyPatternFormats="0" applyAlignmentFormats="0" applyWidthHeightFormats="1" dataCaption="Values" tag="14d74bd9-4b91-4e65-b64d-ef4d6a01c7da" updatedVersion="8" minRefreshableVersion="3" useAutoFormatting="1" subtotalHiddenItems="1" itemPrintTitles="1" createdVersion="5" indent="0" outline="1" outlineData="1" multipleFieldFilters="0">
  <location ref="G3:G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53">
    <pivotHierarchy dragToData="1"/>
    <pivotHierarchy multipleItemSelectionAllowed="1"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DatoOrigenRRH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722CD6E-C630-428E-A50B-777A041296B0}" name="PTTotalEmpPorGenero" cacheId="0" applyNumberFormats="0" applyBorderFormats="0" applyFontFormats="0" applyPatternFormats="0" applyAlignmentFormats="0" applyWidthHeightFormats="1" dataCaption="Values" grandTotalCaption="Total General" tag="e0939fc0-36d8-408c-bd48-28af89459135" updatedVersion="8" minRefreshableVersion="5" useAutoFormatting="1" subtotalHiddenItems="1" itemPrintTitles="1" createdVersion="5" indent="0" outline="1" outlineData="1" multipleFieldFilters="0" chartFormat="17" rowHeaderCaption="SEDE" colHeaderCaption="Genero">
  <location ref="D12:G17" firstHeaderRow="1" firstDataRow="2" firstDataCol="1"/>
  <pivotFields count="5">
    <pivotField dataField="1" subtotalTop="0" showAll="0" defaultSubtotal="0"/>
    <pivotField axis="axisRow" allDrilled="1" subtotalTop="0" showAll="0" dataSourceSort="1" defaultSubtotal="0" defaultAttributeDrillState="1">
      <items count="3">
        <item x="0"/>
        <item x="1"/>
        <item x="2"/>
      </items>
    </pivotField>
    <pivotField axis="axisCol" allDrilled="1" subtotalTop="0" showAll="0" dataSourceSort="1" defaultSubtotal="0" defaultAttributeDrillState="1">
      <items count="2">
        <item x="0"/>
        <item x="1"/>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Fields count="1">
    <field x="2"/>
  </colFields>
  <colItems count="3">
    <i>
      <x/>
    </i>
    <i>
      <x v="1"/>
    </i>
    <i t="grand">
      <x/>
    </i>
  </colItems>
  <dataFields count="1">
    <dataField fld="0" subtotal="count" baseField="0" baseItem="0"/>
  </dataFields>
  <chartFormats count="6">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0" series="1">
      <pivotArea type="data" outline="0" fieldPosition="0">
        <references count="2">
          <reference field="4294967294" count="1" selected="0">
            <x v="0"/>
          </reference>
          <reference field="2" count="1" selected="0">
            <x v="0"/>
          </reference>
        </references>
      </pivotArea>
    </chartFormat>
    <chartFormat chart="7" format="1" series="1">
      <pivotArea type="data" outline="0" fieldPosition="0">
        <references count="2">
          <reference field="4294967294" count="1" selected="0">
            <x v="0"/>
          </reference>
          <reference field="2" count="1" selected="0">
            <x v="1"/>
          </reference>
        </references>
      </pivotArea>
    </chartFormat>
    <chartFormat chart="10" format="4" series="1">
      <pivotArea type="data" outline="0" fieldPosition="0">
        <references count="2">
          <reference field="4294967294" count="1" selected="0">
            <x v="0"/>
          </reference>
          <reference field="2" count="1" selected="0">
            <x v="0"/>
          </reference>
        </references>
      </pivotArea>
    </chartFormat>
    <chartFormat chart="10" format="5" series="1">
      <pivotArea type="data" outline="0" fieldPosition="0">
        <references count="2">
          <reference field="4294967294" count="1" selected="0">
            <x v="0"/>
          </reference>
          <reference field="2" count="1" selected="0">
            <x v="1"/>
          </reference>
        </references>
      </pivotArea>
    </chartFormat>
  </chartFormats>
  <pivotHierarchies count="53">
    <pivotHierarchy dragToData="1"/>
    <pivotHierarchy multipleItemSelectionAllowed="1"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3" type="dateBetween" evalOrder="-1" id="6" name="[Calendar].[Date]">
      <autoFilter ref="A1">
        <filterColumn colId="0">
          <customFilters and="1">
            <customFilter operator="greaterThanOrEqual" val="44440"/>
            <customFilter operator="lessThanOrEqual" val="44469"/>
          </customFilters>
        </filterColumn>
      </autoFilter>
      <extLst>
        <ext xmlns:x15="http://schemas.microsoft.com/office/spreadsheetml/2010/11/main" uri="{0605FD5F-26C8-4aeb-8148-2DB25E43C511}">
          <x15:pivotFilter useWholeDay="1"/>
        </ext>
      </extLst>
    </filter>
  </filters>
  <rowHierarchiesUsage count="1">
    <rowHierarchyUsage hierarchyUsage="14"/>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DatoOrigenRRH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6FB568C-09BD-4F23-BEC4-1CA69650EF17}" name="PTCantidadInactivo" cacheId="3" applyNumberFormats="0" applyBorderFormats="0" applyFontFormats="0" applyPatternFormats="0" applyAlignmentFormats="0" applyWidthHeightFormats="1" dataCaption="Values" tag="06717d4a-8df8-4ae2-a0b7-34583c8c32a6" updatedVersion="8" minRefreshableVersion="3" useAutoFormatting="1" subtotalHiddenItems="1" itemPrintTitles="1" createdVersion="5" indent="0" outline="1" outlineData="1" multipleFieldFilters="0">
  <location ref="C3:C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53">
    <pivotHierarchy dragToData="1"/>
    <pivotHierarchy multipleItemSelectionAllowed="1"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DatoOrigenRRH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940169A-2F6B-4437-A050-E6F238D14049}" name="PtTotalEmpPorAño" cacheId="10" applyNumberFormats="0" applyBorderFormats="0" applyFontFormats="0" applyPatternFormats="0" applyAlignmentFormats="0" applyWidthHeightFormats="1" dataCaption="Values" grandTotalCaption=" Total General" tag="795111b1-6c96-44ec-9bf8-5d1bfdbc2a3e" updatedVersion="8" minRefreshableVersion="3" useAutoFormatting="1" subtotalHiddenItems="1" itemPrintTitles="1" createdVersion="5" indent="0" outline="1" outlineData="1" multipleFieldFilters="0" chartFormat="14" rowHeaderCaption="Año">
  <location ref="A12:B26" firstHeaderRow="1" firstDataRow="1" firstDataCol="1"/>
  <pivotFields count="3">
    <pivotField dataField="1" subtotalTop="0" showAll="0" defaultSubtotal="0"/>
    <pivotField axis="axisRow" allDrilled="1" subtotalTop="0" showAll="0" dataSourceSort="1"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s>
  <rowFields count="1">
    <field x="1"/>
  </rowFields>
  <rowItems count="14">
    <i>
      <x/>
    </i>
    <i>
      <x v="1"/>
    </i>
    <i>
      <x v="2"/>
    </i>
    <i>
      <x v="3"/>
    </i>
    <i>
      <x v="4"/>
    </i>
    <i>
      <x v="5"/>
    </i>
    <i>
      <x v="6"/>
    </i>
    <i>
      <x v="7"/>
    </i>
    <i>
      <x v="8"/>
    </i>
    <i>
      <x v="9"/>
    </i>
    <i>
      <x v="10"/>
    </i>
    <i>
      <x v="11"/>
    </i>
    <i>
      <x v="12"/>
    </i>
    <i t="grand">
      <x/>
    </i>
  </rowItems>
  <colItems count="1">
    <i/>
  </colItems>
  <dataFields count="1">
    <dataField fld="0" subtotal="count" baseField="0" baseItem="0"/>
  </dataFields>
  <chartFormats count="4">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 count="1" selected="0">
            <x v="12"/>
          </reference>
        </references>
      </pivotArea>
    </chartFormat>
    <chartFormat chart="12" format="4" series="1">
      <pivotArea type="data" outline="0" fieldPosition="0">
        <references count="1">
          <reference field="4294967294" count="1" selected="0">
            <x v="0"/>
          </reference>
        </references>
      </pivotArea>
    </chartFormat>
    <chartFormat chart="12" format="5">
      <pivotArea type="data" outline="0" fieldPosition="0">
        <references count="2">
          <reference field="4294967294" count="1" selected="0">
            <x v="0"/>
          </reference>
          <reference field="1" count="1" selected="0">
            <x v="12"/>
          </reference>
        </references>
      </pivotArea>
    </chartFormat>
  </chartFormats>
  <pivotHierarchies count="53">
    <pivotHierarchy dragToData="1"/>
    <pivotHierarchy multipleItemSelectionAllowed="1"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DatoOrigenRRH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509280C-F2D3-4769-B3B1-F9B10E3D6C5E}" name="PTCantidadMujeres" cacheId="4" applyNumberFormats="0" applyBorderFormats="0" applyFontFormats="0" applyPatternFormats="0" applyAlignmentFormats="0" applyWidthHeightFormats="1" dataCaption="Values" tag="e213d155-c821-444e-b141-e816ea9bba6c" updatedVersion="8" minRefreshableVersion="3" useAutoFormatting="1" subtotalHiddenItems="1" itemPrintTitles="1" createdVersion="5" indent="0" outline="1" outlineData="1" multipleFieldFilters="0">
  <location ref="E3:E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53">
    <pivotHierarchy dragToData="1"/>
    <pivotHierarchy multipleItemSelectionAllowed="1"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DatoOrigenRRH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028749B-913C-4FB8-9953-84F4BF94ED70}" name="PTCantidadHombre" cacheId="2" applyNumberFormats="0" applyBorderFormats="0" applyFontFormats="0" applyPatternFormats="0" applyAlignmentFormats="0" applyWidthHeightFormats="1" dataCaption="Values" tag="c5b6ead5-bf36-4ea6-9273-d26aaefa09a4" updatedVersion="8" minRefreshableVersion="3" useAutoFormatting="1" subtotalHiddenItems="1" itemPrintTitles="1" createdVersion="5" indent="0" outline="1" outlineData="1" multipleFieldFilters="0">
  <location ref="D3:D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53">
    <pivotHierarchy dragToData="1"/>
    <pivotHierarchy multipleItemSelectionAllowed="1"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DatoOrigenRRHH]"/>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8B3BE1F0-2A3B-402B-9A19-AF77B5F22DD5}" autoFormatId="16" applyNumberFormats="0" applyBorderFormats="0" applyFontFormats="0" applyPatternFormats="0" applyAlignmentFormats="0" applyWidthHeightFormats="0">
  <queryTableRefresh nextId="27">
    <queryTableFields count="26">
      <queryTableField id="1" name="DOCUMENTO" tableColumnId="1"/>
      <queryTableField id="2" name="NOMBRE COMPLETO" tableColumnId="2"/>
      <queryTableField id="3" name="GENERO" tableColumnId="3"/>
      <queryTableField id="4" name="AREA" tableColumnId="4"/>
      <queryTableField id="5" name="CARGO" tableColumnId="5"/>
      <queryTableField id="6" name="SEDE" tableColumnId="6"/>
      <queryTableField id="7" name="SALARIO BÁSICO" tableColumnId="7"/>
      <queryTableField id="8" name="COMISION" tableColumnId="8"/>
      <queryTableField id="9" name="PROMEDIO DEVENGADO MENSUAL " tableColumnId="9"/>
      <queryTableField id="10" name="EPS" tableColumnId="10"/>
      <queryTableField id="11" name="AFP" tableColumnId="11"/>
      <queryTableField id="12" name="FECHA DE NACIMIENTO " tableColumnId="12"/>
      <queryTableField id="13" name="EDAD" tableColumnId="13"/>
      <queryTableField id="14" name="DIRECCION " tableColumnId="14"/>
      <queryTableField id="15" name="MUNICIPIO" tableColumnId="15"/>
      <queryTableField id="16" name="HIJOS " tableColumnId="16"/>
      <queryTableField id="17" name="FECHA DE INGRESO DD/MM/AAAA" tableColumnId="17"/>
      <queryTableField id="18" name="FECHA DE SALIDA DD/MM/AAAA" tableColumnId="18"/>
      <queryTableField id="19" name="TIPO DE CONTRATO" tableColumnId="19"/>
      <queryTableField id="20" name="ANTIGUEDAD AÑOS" tableColumnId="20"/>
      <queryTableField id="21" name="NIVEL EDUCATIVO" tableColumnId="21"/>
      <queryTableField id="22" name="ESTADO " tableColumnId="22"/>
      <queryTableField id="23" name="GRUPO EDAD" tableColumnId="23"/>
      <queryTableField id="24" name="SEGURO DE VIDA " tableColumnId="24"/>
      <queryTableField id="25" name="RANGO SALARIAL" tableColumnId="25"/>
      <queryTableField id="26" name="GENERACION" tableColumnId="2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ño2" xr10:uid="{69F596B6-A150-4922-8DBE-7A1C53BBEFAF}" sourceName="[Calendar].[Año2]">
  <pivotTables>
    <pivotTable tabId="6" name="PTTotalEmpPorGenero"/>
    <pivotTable tabId="6" name="PTCantidadActivo"/>
    <pivotTable tabId="6" name="PTCantidadHombre"/>
    <pivotTable tabId="6" name="PTCantidadInactivo"/>
    <pivotTable tabId="6" name="PTCantidadMujeres"/>
    <pivotTable tabId="6" name="PTEmpleadoPorContratoPorSalario"/>
    <pivotTable tabId="6" name="PTEmpleadoPorEdadPorGeneacion"/>
    <pivotTable tabId="6" name="PTPorcientoHombres"/>
    <pivotTable tabId="6" name="PTPorcientoMujeres"/>
    <pivotTable tabId="6" name="PTTotalEmpleado"/>
    <pivotTable tabId="6" name="PtTotalEmpPorAño"/>
  </pivotTables>
  <data>
    <olap pivotCacheId="731351386">
      <levels count="2">
        <level uniqueName="[Calendar].[Año2].[(All)]" sourceCaption="(All)" count="0"/>
        <level uniqueName="[Calendar].[Año2].[Año2]" sourceCaption="Año2" count="13">
          <ranges>
            <range startItem="0">
              <i n="[Calendar].[Año2].&amp;[2009]" c="2009"/>
              <i n="[Calendar].[Año2].&amp;[2010]" c="2010"/>
              <i n="[Calendar].[Año2].&amp;[2011]" c="2011"/>
              <i n="[Calendar].[Año2].&amp;[2012]" c="2012"/>
              <i n="[Calendar].[Año2].&amp;[2013]" c="2013"/>
              <i n="[Calendar].[Año2].&amp;[2014]" c="2014"/>
              <i n="[Calendar].[Año2].&amp;[2015]" c="2015"/>
              <i n="[Calendar].[Año2].&amp;[2016]" c="2016"/>
              <i n="[Calendar].[Año2].&amp;[2017]" c="2017"/>
              <i n="[Calendar].[Año2].&amp;[2018]" c="2018"/>
              <i n="[Calendar].[Año2].&amp;[2019]" c="2019"/>
              <i n="[Calendar].[Año2].&amp;[2020]" c="2020"/>
              <i n="[Calendar].[Año2].&amp;[2021]" c="2021"/>
            </range>
          </ranges>
        </level>
      </levels>
      <selections count="1">
        <selection n="[Calendar].[Año2].[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s2" xr10:uid="{B424395B-E43A-4875-882B-DBC0EF311919}" sourceName="[Calendar].[Mes2]">
  <pivotTables>
    <pivotTable tabId="6" name="PTTotalEmpPorGenero"/>
    <pivotTable tabId="6" name="PTCantidadActivo"/>
    <pivotTable tabId="6" name="PTCantidadHombre"/>
    <pivotTable tabId="6" name="PTCantidadInactivo"/>
    <pivotTable tabId="6" name="PTCantidadMujeres"/>
    <pivotTable tabId="6" name="PTEmpleadoPorContratoPorSalario"/>
    <pivotTable tabId="6" name="PTEmpleadoPorEdadPorGeneacion"/>
    <pivotTable tabId="6" name="PTPorcientoHombres"/>
    <pivotTable tabId="6" name="PTPorcientoMujeres"/>
    <pivotTable tabId="6" name="PTTotalEmpleado"/>
    <pivotTable tabId="6" name="PtTotalEmpPorAño"/>
  </pivotTables>
  <data>
    <olap pivotCacheId="731351386">
      <levels count="2">
        <level uniqueName="[Calendar].[Mes2].[(All)]" sourceCaption="(All)" count="0"/>
        <level uniqueName="[Calendar].[Mes2].[Mes2]" sourceCaption="Mes2" count="12">
          <ranges>
            <range startItem="0">
              <i n="[Calendar].[Mes2].&amp;[Ene]" c="Ene"/>
              <i n="[Calendar].[Mes2].&amp;[Feb]" c="Feb"/>
              <i n="[Calendar].[Mes2].&amp;[Mar]" c="Mar"/>
              <i n="[Calendar].[Mes2].&amp;[Abr]" c="Abr"/>
              <i n="[Calendar].[Mes2].&amp;[May]" c="May"/>
              <i n="[Calendar].[Mes2].&amp;[Jun]" c="Jun"/>
              <i n="[Calendar].[Mes2].&amp;[Jul]" c="Jul"/>
              <i n="[Calendar].[Mes2].&amp;[Ago]" c="Ago"/>
              <i n="[Calendar].[Mes2].&amp;[Sep]" c="Sep"/>
              <i n="[Calendar].[Mes2].&amp;[Oct]" c="Oct"/>
              <i n="[Calendar].[Mes2].&amp;[Nov]" c="Nov"/>
              <i n="[Calendar].[Mes2].&amp;[Dic]" c="Dic"/>
            </range>
          </ranges>
        </level>
      </levels>
      <selections count="1">
        <selection n="[Calendar].[Mes2].[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ño2" xr10:uid="{1A5101D1-C028-40EB-90B9-C5A40054C339}" cache="Slicer_Año2" caption="Año" columnCount="10" level="1" style="SlicerStyleLight1 2" rowHeight="241300"/>
  <slicer name="Mes2" xr10:uid="{C6DAE0B1-1F87-441C-989A-56376F57F5BB}" cache="Slicer_Mes2" caption="Mes" columnCount="6" level="1" style="SlicerStyleLight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FFAEB74-D17A-43EE-94A9-53E6F615E165}" name="DatoOrigenRRHH" displayName="DatoOrigenRRHH" ref="A1:Z269" tableType="queryTable" totalsRowShown="0">
  <autoFilter ref="A1:Z269" xr:uid="{4FFAEB74-D17A-43EE-94A9-53E6F615E165}"/>
  <tableColumns count="26">
    <tableColumn id="1" xr3:uid="{81F15DAC-4FFB-4B90-A9F8-9A544D821850}" uniqueName="1" name="DOCUMENTO" queryTableFieldId="1"/>
    <tableColumn id="2" xr3:uid="{9129F098-AF5D-43F8-B7F9-B7E0986AC69A}" uniqueName="2" name="NOMBRE COMPLETO" queryTableFieldId="2" dataDxfId="18"/>
    <tableColumn id="3" xr3:uid="{AEA4D075-AE61-4711-AEF7-A1E071A5B0F0}" uniqueName="3" name="GENERO" queryTableFieldId="3" dataDxfId="17"/>
    <tableColumn id="4" xr3:uid="{52023B22-EF56-40DB-A28A-40CA31DF3F69}" uniqueName="4" name="AREA" queryTableFieldId="4" dataDxfId="16"/>
    <tableColumn id="5" xr3:uid="{D88E8BE9-D769-448D-B895-A1EC1B857E87}" uniqueName="5" name="CARGO" queryTableFieldId="5" dataDxfId="15"/>
    <tableColumn id="6" xr3:uid="{5A11E041-733E-4339-9F43-4A940613FF55}" uniqueName="6" name="SEDE" queryTableFieldId="6" dataDxfId="14"/>
    <tableColumn id="7" xr3:uid="{52610944-6CA1-4E00-9BAC-1DA69E5E730C}" uniqueName="7" name="SALARIO BÁSICO" queryTableFieldId="7"/>
    <tableColumn id="8" xr3:uid="{100B45A0-DF54-46DB-A86F-6161F098602C}" uniqueName="8" name="COMISION" queryTableFieldId="8"/>
    <tableColumn id="9" xr3:uid="{072F7410-A3F1-4F84-9594-BA8D79DD0AA1}" uniqueName="9" name="PROMEDIO DEVENGADO MENSUAL " queryTableFieldId="9"/>
    <tableColumn id="10" xr3:uid="{72C85095-5BFA-4685-9211-991DDA56E3B8}" uniqueName="10" name="EPS" queryTableFieldId="10" dataDxfId="13"/>
    <tableColumn id="11" xr3:uid="{F8CAEAE9-8D6B-47F2-A3D8-73966072B202}" uniqueName="11" name="AFP" queryTableFieldId="11"/>
    <tableColumn id="12" xr3:uid="{EF62061B-7A17-4BB5-A5F6-C65B35FBD672}" uniqueName="12" name="FECHA DE NACIMIENTO " queryTableFieldId="12" dataDxfId="12"/>
    <tableColumn id="13" xr3:uid="{31CF4F14-8B73-4A13-9AE2-78AB42EDE5B8}" uniqueName="13" name="EDAD" queryTableFieldId="13"/>
    <tableColumn id="14" xr3:uid="{35EA7F6E-3FEC-4659-A0CA-97BE4BDBC1D1}" uniqueName="14" name="DIRECCION " queryTableFieldId="14" dataDxfId="11"/>
    <tableColumn id="15" xr3:uid="{36F0F2B0-FF7C-45C1-92B2-6C2B614AA950}" uniqueName="15" name="MUNICIPIO" queryTableFieldId="15" dataDxfId="10"/>
    <tableColumn id="16" xr3:uid="{50752B14-6B71-4E94-91E2-A72A7AEB8B7D}" uniqueName="16" name="HIJOS " queryTableFieldId="16" dataDxfId="9"/>
    <tableColumn id="17" xr3:uid="{3AB3D69B-2C9D-4CFA-A74F-2C92D10FCEB4}" uniqueName="17" name="FECHA DE INGRESO DD/MM/AAAA" queryTableFieldId="17" dataDxfId="8"/>
    <tableColumn id="18" xr3:uid="{CFA47861-D572-4A38-B26B-38D068718B7B}" uniqueName="18" name="FECHA DE SALIDA DD/MM/AAAA" queryTableFieldId="18" dataDxfId="7"/>
    <tableColumn id="19" xr3:uid="{D9228EA7-91A8-42E3-88C7-4A62483001A6}" uniqueName="19" name="TIPO DE CONTRATO" queryTableFieldId="19" dataDxfId="6"/>
    <tableColumn id="20" xr3:uid="{DF0E1C30-B800-47DE-AE11-6D69FD760598}" uniqueName="20" name="ANTIGUEDAD AÑOS" queryTableFieldId="20"/>
    <tableColumn id="21" xr3:uid="{9C302628-0AAF-41B5-92CA-1A4691E1BAAB}" uniqueName="21" name="NIVEL EDUCATIVO" queryTableFieldId="21" dataDxfId="5"/>
    <tableColumn id="22" xr3:uid="{1E2903BE-EE55-4103-8967-4D39E211EF52}" uniqueName="22" name="ESTADO " queryTableFieldId="22" dataDxfId="4"/>
    <tableColumn id="23" xr3:uid="{BDE8145F-10C2-4650-8BA7-B323CBBFDF96}" uniqueName="23" name="GRUPO EDAD" queryTableFieldId="23" dataDxfId="3"/>
    <tableColumn id="24" xr3:uid="{936172F7-0CA2-4E8E-8B03-F6B80B0FD8BE}" uniqueName="24" name="SEGURO DE VIDA " queryTableFieldId="24" dataDxfId="2"/>
    <tableColumn id="25" xr3:uid="{0DA7E5B1-36FB-4396-A22D-5CE2DE36FB6C}" uniqueName="25" name="RANGO SALARIAL" queryTableFieldId="25" dataDxfId="1"/>
    <tableColumn id="26" xr3:uid="{0246CB15-1E36-4476-8D42-342FC71345BF}" uniqueName="26" name="GENERACION" queryTableFieldId="26"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89391C-B3CF-4A0D-9AE0-8246C933DFEC}">
  <we:reference id="wa200000019" version="25.0.2.0" store="en-US" storeType="OMEX"/>
  <we:alternateReferences>
    <we:reference id="wa200000019" version="25.0.2.0" store="wa200000019"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PSIFORECAST</we:customFunctionIds>
        <we:customFunctionIds>PSIPREDICT</we:customFunctionIds>
        <we:customFunctionIds>PSIPOSTERIORS</we:customFunctionIds>
        <we:customFunctionIds>PSITRANSFORM</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78AF7-5858-459E-99F5-3A9EBAC1BA48}">
  <sheetPr codeName="Sheet4"/>
  <dimension ref="A1:Z269"/>
  <sheetViews>
    <sheetView topLeftCell="N2" workbookViewId="0">
      <selection activeCell="E2" sqref="E2"/>
    </sheetView>
  </sheetViews>
  <sheetFormatPr defaultRowHeight="15" x14ac:dyDescent="0.25"/>
  <cols>
    <col min="1" max="1" width="15.42578125" bestFit="1" customWidth="1"/>
    <col min="2" max="2" width="38.5703125" bestFit="1" customWidth="1"/>
    <col min="3" max="3" width="10.7109375" bestFit="1" customWidth="1"/>
    <col min="4" max="4" width="17" bestFit="1" customWidth="1"/>
    <col min="5" max="5" width="49" bestFit="1" customWidth="1"/>
    <col min="6" max="6" width="9.7109375" bestFit="1" customWidth="1"/>
    <col min="7" max="7" width="18" bestFit="1" customWidth="1"/>
    <col min="8" max="8" width="12.7109375" bestFit="1" customWidth="1"/>
    <col min="9" max="9" width="35.42578125" bestFit="1" customWidth="1"/>
    <col min="10" max="10" width="13.28515625" bestFit="1" customWidth="1"/>
    <col min="11" max="11" width="18.5703125" bestFit="1" customWidth="1"/>
    <col min="12" max="12" width="24.7109375" bestFit="1" customWidth="1"/>
    <col min="13" max="13" width="8.140625" bestFit="1" customWidth="1"/>
    <col min="14" max="14" width="38" bestFit="1" customWidth="1"/>
    <col min="15" max="15" width="23.5703125" bestFit="1" customWidth="1"/>
    <col min="16" max="16" width="8.7109375" bestFit="1" customWidth="1"/>
    <col min="17" max="17" width="34.42578125" bestFit="1" customWidth="1"/>
    <col min="18" max="18" width="32.7109375" bestFit="1" customWidth="1"/>
    <col min="19" max="19" width="20.7109375" bestFit="1" customWidth="1"/>
    <col min="20" max="20" width="21.140625" bestFit="1" customWidth="1"/>
    <col min="21" max="21" width="29.28515625" bestFit="1" customWidth="1"/>
    <col min="22" max="22" width="10.7109375" bestFit="1" customWidth="1"/>
    <col min="23" max="23" width="15.140625" bestFit="1" customWidth="1"/>
    <col min="24" max="24" width="18.85546875" bestFit="1" customWidth="1"/>
    <col min="25" max="25" width="27.7109375" bestFit="1" customWidth="1"/>
    <col min="26" max="26" width="15.140625" bestFit="1" customWidth="1"/>
  </cols>
  <sheetData>
    <row r="1" spans="1:26" x14ac:dyDescent="0.25">
      <c r="A1" t="s">
        <v>8</v>
      </c>
      <c r="B1" t="s">
        <v>9</v>
      </c>
      <c r="C1" t="s">
        <v>10</v>
      </c>
      <c r="D1" t="s">
        <v>11</v>
      </c>
      <c r="E1" t="s">
        <v>12</v>
      </c>
      <c r="F1" t="s">
        <v>13</v>
      </c>
      <c r="G1" t="s">
        <v>14</v>
      </c>
      <c r="H1" t="s">
        <v>15</v>
      </c>
      <c r="I1" t="s">
        <v>16</v>
      </c>
      <c r="J1" t="s">
        <v>17</v>
      </c>
      <c r="K1" t="s">
        <v>18</v>
      </c>
      <c r="L1" t="s">
        <v>19</v>
      </c>
      <c r="M1" t="s">
        <v>20</v>
      </c>
      <c r="N1" t="s">
        <v>21</v>
      </c>
      <c r="O1" t="s">
        <v>22</v>
      </c>
      <c r="P1" t="s">
        <v>23</v>
      </c>
      <c r="Q1" t="s">
        <v>24</v>
      </c>
      <c r="R1" t="s">
        <v>25</v>
      </c>
      <c r="S1" t="s">
        <v>26</v>
      </c>
      <c r="T1" t="s">
        <v>27</v>
      </c>
      <c r="U1" t="s">
        <v>28</v>
      </c>
      <c r="V1" t="s">
        <v>29</v>
      </c>
      <c r="W1" t="s">
        <v>30</v>
      </c>
      <c r="X1" t="s">
        <v>31</v>
      </c>
      <c r="Y1" t="s">
        <v>32</v>
      </c>
      <c r="Z1" t="s">
        <v>33</v>
      </c>
    </row>
    <row r="2" spans="1:26" x14ac:dyDescent="0.25">
      <c r="A2">
        <v>71140980</v>
      </c>
      <c r="B2" t="s">
        <v>34</v>
      </c>
      <c r="C2" t="s">
        <v>35</v>
      </c>
      <c r="D2" t="s">
        <v>36</v>
      </c>
      <c r="E2" t="s">
        <v>37</v>
      </c>
      <c r="F2" t="s">
        <v>38</v>
      </c>
      <c r="G2">
        <v>908526</v>
      </c>
      <c r="H2">
        <v>375000</v>
      </c>
      <c r="I2">
        <v>1389980</v>
      </c>
      <c r="J2" t="s">
        <v>39</v>
      </c>
      <c r="K2" t="s">
        <v>40</v>
      </c>
      <c r="L2" s="1">
        <v>24595</v>
      </c>
      <c r="M2">
        <v>54</v>
      </c>
      <c r="N2" t="s">
        <v>41</v>
      </c>
      <c r="O2" t="s">
        <v>42</v>
      </c>
      <c r="P2" t="s">
        <v>43</v>
      </c>
      <c r="Q2" s="1">
        <v>40931</v>
      </c>
      <c r="R2" s="1"/>
      <c r="S2" t="s">
        <v>44</v>
      </c>
      <c r="T2">
        <v>10.186301369863013</v>
      </c>
      <c r="U2" t="s">
        <v>45</v>
      </c>
      <c r="V2" t="s">
        <v>46</v>
      </c>
      <c r="W2" t="s">
        <v>47</v>
      </c>
      <c r="X2" t="s">
        <v>48</v>
      </c>
      <c r="Y2" t="s">
        <v>49</v>
      </c>
      <c r="Z2" t="s">
        <v>50</v>
      </c>
    </row>
    <row r="3" spans="1:26" x14ac:dyDescent="0.25">
      <c r="A3">
        <v>66964818</v>
      </c>
      <c r="B3" t="s">
        <v>51</v>
      </c>
      <c r="C3" t="s">
        <v>35</v>
      </c>
      <c r="D3" t="s">
        <v>52</v>
      </c>
      <c r="E3" t="s">
        <v>53</v>
      </c>
      <c r="F3" t="s">
        <v>38</v>
      </c>
      <c r="G3">
        <v>2500000</v>
      </c>
      <c r="H3">
        <v>0</v>
      </c>
      <c r="I3">
        <v>2500000</v>
      </c>
      <c r="J3" t="s">
        <v>39</v>
      </c>
      <c r="K3" t="s">
        <v>54</v>
      </c>
      <c r="L3" s="1">
        <v>31244</v>
      </c>
      <c r="M3">
        <v>36</v>
      </c>
      <c r="N3" t="s">
        <v>55</v>
      </c>
      <c r="O3" t="s">
        <v>56</v>
      </c>
      <c r="P3" t="s">
        <v>57</v>
      </c>
      <c r="Q3" s="1">
        <v>44243</v>
      </c>
      <c r="R3" s="1"/>
      <c r="S3" t="s">
        <v>44</v>
      </c>
      <c r="T3">
        <v>1.1123287671232878</v>
      </c>
      <c r="U3" t="s">
        <v>58</v>
      </c>
      <c r="V3" t="s">
        <v>46</v>
      </c>
      <c r="W3" t="s">
        <v>59</v>
      </c>
      <c r="Y3" t="s">
        <v>49</v>
      </c>
      <c r="Z3" t="s">
        <v>60</v>
      </c>
    </row>
    <row r="4" spans="1:26" x14ac:dyDescent="0.25">
      <c r="A4">
        <v>1042063856</v>
      </c>
      <c r="B4" t="s">
        <v>61</v>
      </c>
      <c r="C4" t="s">
        <v>35</v>
      </c>
      <c r="D4" t="s">
        <v>36</v>
      </c>
      <c r="E4" t="s">
        <v>37</v>
      </c>
      <c r="F4" t="s">
        <v>62</v>
      </c>
      <c r="G4">
        <v>908526</v>
      </c>
      <c r="H4">
        <v>0</v>
      </c>
      <c r="I4">
        <v>1014980</v>
      </c>
      <c r="J4" t="s">
        <v>39</v>
      </c>
      <c r="K4" t="s">
        <v>63</v>
      </c>
      <c r="L4" s="1">
        <v>36110</v>
      </c>
      <c r="M4">
        <v>23</v>
      </c>
      <c r="N4" t="s">
        <v>64</v>
      </c>
      <c r="O4" t="s">
        <v>65</v>
      </c>
      <c r="P4" t="s">
        <v>66</v>
      </c>
      <c r="Q4" s="1">
        <v>44431</v>
      </c>
      <c r="R4" s="1"/>
      <c r="S4" t="s">
        <v>44</v>
      </c>
      <c r="T4">
        <v>0.59726027397260273</v>
      </c>
      <c r="U4" t="s">
        <v>67</v>
      </c>
      <c r="V4" t="s">
        <v>46</v>
      </c>
      <c r="W4" t="s">
        <v>68</v>
      </c>
      <c r="Y4" t="s">
        <v>49</v>
      </c>
      <c r="Z4" t="s">
        <v>69</v>
      </c>
    </row>
    <row r="5" spans="1:26" x14ac:dyDescent="0.25">
      <c r="A5">
        <v>1001813448</v>
      </c>
      <c r="B5" t="s">
        <v>70</v>
      </c>
      <c r="C5" t="s">
        <v>35</v>
      </c>
      <c r="D5" t="s">
        <v>36</v>
      </c>
      <c r="E5" t="s">
        <v>37</v>
      </c>
      <c r="F5" t="s">
        <v>62</v>
      </c>
      <c r="G5">
        <v>908526</v>
      </c>
      <c r="H5">
        <v>168800</v>
      </c>
      <c r="I5">
        <v>1183780</v>
      </c>
      <c r="J5" t="s">
        <v>71</v>
      </c>
      <c r="K5" t="s">
        <v>72</v>
      </c>
      <c r="L5" s="1">
        <v>36911</v>
      </c>
      <c r="M5">
        <v>21</v>
      </c>
      <c r="N5" t="s">
        <v>64</v>
      </c>
      <c r="O5" t="s">
        <v>65</v>
      </c>
      <c r="P5" t="s">
        <v>57</v>
      </c>
      <c r="Q5" s="1">
        <v>44263</v>
      </c>
      <c r="R5" s="1"/>
      <c r="S5" t="s">
        <v>44</v>
      </c>
      <c r="T5">
        <v>1.0575342465753426</v>
      </c>
      <c r="U5" t="s">
        <v>67</v>
      </c>
      <c r="V5" t="s">
        <v>46</v>
      </c>
      <c r="W5" t="s">
        <v>68</v>
      </c>
      <c r="Y5" t="s">
        <v>49</v>
      </c>
      <c r="Z5" t="s">
        <v>69</v>
      </c>
    </row>
    <row r="6" spans="1:26" x14ac:dyDescent="0.25">
      <c r="A6">
        <v>71142579</v>
      </c>
      <c r="B6" t="s">
        <v>73</v>
      </c>
      <c r="C6" t="s">
        <v>74</v>
      </c>
      <c r="D6" t="s">
        <v>36</v>
      </c>
      <c r="E6" t="s">
        <v>37</v>
      </c>
      <c r="F6" t="s">
        <v>38</v>
      </c>
      <c r="G6">
        <v>908526</v>
      </c>
      <c r="H6">
        <v>282000</v>
      </c>
      <c r="I6">
        <v>1296980</v>
      </c>
      <c r="J6" t="s">
        <v>39</v>
      </c>
      <c r="K6" t="s">
        <v>75</v>
      </c>
      <c r="L6" s="1">
        <v>30384</v>
      </c>
      <c r="M6">
        <v>39</v>
      </c>
      <c r="N6" t="s">
        <v>76</v>
      </c>
      <c r="O6" t="s">
        <v>77</v>
      </c>
      <c r="P6" t="s">
        <v>43</v>
      </c>
      <c r="Q6" s="1">
        <v>42844</v>
      </c>
      <c r="R6" s="1"/>
      <c r="S6" t="s">
        <v>44</v>
      </c>
      <c r="T6">
        <v>4.9452054794520546</v>
      </c>
      <c r="U6" t="s">
        <v>45</v>
      </c>
      <c r="V6" t="s">
        <v>46</v>
      </c>
      <c r="W6" t="s">
        <v>59</v>
      </c>
      <c r="X6" t="s">
        <v>48</v>
      </c>
      <c r="Y6" t="s">
        <v>49</v>
      </c>
      <c r="Z6" t="s">
        <v>60</v>
      </c>
    </row>
    <row r="7" spans="1:26" x14ac:dyDescent="0.25">
      <c r="A7">
        <v>1214723379</v>
      </c>
      <c r="B7" t="s">
        <v>78</v>
      </c>
      <c r="C7" t="s">
        <v>74</v>
      </c>
      <c r="D7" t="s">
        <v>36</v>
      </c>
      <c r="E7" t="s">
        <v>37</v>
      </c>
      <c r="F7" t="s">
        <v>79</v>
      </c>
      <c r="G7">
        <v>908526</v>
      </c>
      <c r="H7">
        <v>215000</v>
      </c>
      <c r="I7">
        <v>1229980</v>
      </c>
      <c r="J7" t="s">
        <v>39</v>
      </c>
      <c r="K7" t="s">
        <v>80</v>
      </c>
      <c r="L7" s="1">
        <v>34323</v>
      </c>
      <c r="M7">
        <v>28</v>
      </c>
      <c r="N7" t="s">
        <v>81</v>
      </c>
      <c r="O7" t="s">
        <v>38</v>
      </c>
      <c r="P7" t="s">
        <v>43</v>
      </c>
      <c r="Q7" s="1">
        <v>44209</v>
      </c>
      <c r="R7" s="1">
        <v>44474</v>
      </c>
      <c r="S7" t="s">
        <v>44</v>
      </c>
      <c r="T7">
        <v>0.72602739726027399</v>
      </c>
      <c r="U7" t="s">
        <v>67</v>
      </c>
      <c r="V7" t="s">
        <v>82</v>
      </c>
      <c r="W7" t="s">
        <v>68</v>
      </c>
      <c r="Y7" t="s">
        <v>49</v>
      </c>
      <c r="Z7" t="s">
        <v>60</v>
      </c>
    </row>
    <row r="8" spans="1:26" x14ac:dyDescent="0.25">
      <c r="A8">
        <v>1026159619</v>
      </c>
      <c r="B8" t="s">
        <v>83</v>
      </c>
      <c r="C8" t="s">
        <v>74</v>
      </c>
      <c r="D8" t="s">
        <v>36</v>
      </c>
      <c r="E8" t="s">
        <v>37</v>
      </c>
      <c r="F8" t="s">
        <v>38</v>
      </c>
      <c r="G8">
        <v>908526</v>
      </c>
      <c r="H8">
        <v>400000</v>
      </c>
      <c r="I8">
        <v>1414980</v>
      </c>
      <c r="J8" t="s">
        <v>71</v>
      </c>
      <c r="K8" t="s">
        <v>63</v>
      </c>
      <c r="L8" s="1">
        <v>35950</v>
      </c>
      <c r="M8">
        <v>23</v>
      </c>
      <c r="N8" t="s">
        <v>84</v>
      </c>
      <c r="O8" t="s">
        <v>56</v>
      </c>
      <c r="P8" t="s">
        <v>43</v>
      </c>
      <c r="Q8" s="1">
        <v>43228</v>
      </c>
      <c r="R8" s="1"/>
      <c r="S8" t="s">
        <v>44</v>
      </c>
      <c r="T8">
        <v>3.893150684931507</v>
      </c>
      <c r="U8" t="s">
        <v>67</v>
      </c>
      <c r="V8" t="s">
        <v>46</v>
      </c>
      <c r="W8" t="s">
        <v>68</v>
      </c>
      <c r="X8" t="s">
        <v>48</v>
      </c>
      <c r="Y8" t="s">
        <v>49</v>
      </c>
      <c r="Z8" t="s">
        <v>69</v>
      </c>
    </row>
    <row r="9" spans="1:26" x14ac:dyDescent="0.25">
      <c r="A9">
        <v>1152222435</v>
      </c>
      <c r="B9" t="s">
        <v>85</v>
      </c>
      <c r="C9" t="s">
        <v>74</v>
      </c>
      <c r="D9" t="s">
        <v>36</v>
      </c>
      <c r="E9" t="s">
        <v>37</v>
      </c>
      <c r="F9" t="s">
        <v>38</v>
      </c>
      <c r="G9">
        <v>908526</v>
      </c>
      <c r="H9">
        <v>215000</v>
      </c>
      <c r="I9">
        <v>1229980</v>
      </c>
      <c r="J9" t="s">
        <v>86</v>
      </c>
      <c r="K9" t="s">
        <v>87</v>
      </c>
      <c r="L9" s="1">
        <v>35997</v>
      </c>
      <c r="M9">
        <v>23</v>
      </c>
      <c r="N9" t="s">
        <v>88</v>
      </c>
      <c r="O9" t="s">
        <v>38</v>
      </c>
      <c r="P9" t="s">
        <v>57</v>
      </c>
      <c r="Q9" s="1">
        <v>44123</v>
      </c>
      <c r="R9" s="1"/>
      <c r="S9" t="s">
        <v>44</v>
      </c>
      <c r="T9">
        <v>1.441095890410959</v>
      </c>
      <c r="U9" t="s">
        <v>89</v>
      </c>
      <c r="V9" t="s">
        <v>46</v>
      </c>
      <c r="W9" t="s">
        <v>68</v>
      </c>
      <c r="Y9" t="s">
        <v>49</v>
      </c>
      <c r="Z9" t="s">
        <v>69</v>
      </c>
    </row>
    <row r="10" spans="1:26" x14ac:dyDescent="0.25">
      <c r="A10">
        <v>1026149579</v>
      </c>
      <c r="B10" t="s">
        <v>90</v>
      </c>
      <c r="C10" t="s">
        <v>35</v>
      </c>
      <c r="D10" t="s">
        <v>36</v>
      </c>
      <c r="E10" t="s">
        <v>37</v>
      </c>
      <c r="F10" t="s">
        <v>38</v>
      </c>
      <c r="G10">
        <v>908526</v>
      </c>
      <c r="H10">
        <v>215000</v>
      </c>
      <c r="I10">
        <v>1229980</v>
      </c>
      <c r="J10" t="s">
        <v>39</v>
      </c>
      <c r="K10" t="s">
        <v>72</v>
      </c>
      <c r="L10" s="1">
        <v>34201</v>
      </c>
      <c r="M10">
        <v>28</v>
      </c>
      <c r="N10" t="s">
        <v>91</v>
      </c>
      <c r="O10" t="s">
        <v>92</v>
      </c>
      <c r="P10" t="s">
        <v>43</v>
      </c>
      <c r="Q10" s="1">
        <v>44403</v>
      </c>
      <c r="R10" s="1"/>
      <c r="S10" t="s">
        <v>44</v>
      </c>
      <c r="T10">
        <v>0.67397260273972603</v>
      </c>
      <c r="U10" t="s">
        <v>67</v>
      </c>
      <c r="V10" t="s">
        <v>46</v>
      </c>
      <c r="W10" t="s">
        <v>68</v>
      </c>
      <c r="Y10" t="s">
        <v>49</v>
      </c>
      <c r="Z10" t="s">
        <v>60</v>
      </c>
    </row>
    <row r="11" spans="1:26" x14ac:dyDescent="0.25">
      <c r="A11">
        <v>1020461345</v>
      </c>
      <c r="B11" t="s">
        <v>93</v>
      </c>
      <c r="C11" t="s">
        <v>74</v>
      </c>
      <c r="D11" t="s">
        <v>94</v>
      </c>
      <c r="E11" t="s">
        <v>95</v>
      </c>
      <c r="F11" t="s">
        <v>79</v>
      </c>
      <c r="G11">
        <v>1999999.9920000001</v>
      </c>
      <c r="H11">
        <v>0</v>
      </c>
      <c r="I11">
        <v>1999999.9920000001</v>
      </c>
      <c r="J11" t="s">
        <v>39</v>
      </c>
      <c r="K11" t="s">
        <v>40</v>
      </c>
      <c r="L11" s="1">
        <v>30591</v>
      </c>
      <c r="M11">
        <v>38</v>
      </c>
      <c r="N11" t="s">
        <v>96</v>
      </c>
      <c r="O11" t="s">
        <v>97</v>
      </c>
      <c r="P11" t="s">
        <v>57</v>
      </c>
      <c r="Q11" s="1">
        <v>43648</v>
      </c>
      <c r="R11" s="1"/>
      <c r="S11" t="s">
        <v>44</v>
      </c>
      <c r="T11">
        <v>2.7424657534246575</v>
      </c>
      <c r="U11" t="s">
        <v>67</v>
      </c>
      <c r="V11" t="s">
        <v>46</v>
      </c>
      <c r="W11" t="s">
        <v>59</v>
      </c>
      <c r="Y11" t="s">
        <v>49</v>
      </c>
      <c r="Z11" t="s">
        <v>60</v>
      </c>
    </row>
    <row r="12" spans="1:26" x14ac:dyDescent="0.25">
      <c r="A12">
        <v>1026133876</v>
      </c>
      <c r="B12" t="s">
        <v>98</v>
      </c>
      <c r="C12" t="s">
        <v>74</v>
      </c>
      <c r="D12" t="s">
        <v>36</v>
      </c>
      <c r="E12" t="s">
        <v>99</v>
      </c>
      <c r="F12" t="s">
        <v>38</v>
      </c>
      <c r="G12">
        <v>2100000</v>
      </c>
      <c r="H12">
        <v>300000</v>
      </c>
      <c r="I12">
        <v>2400000</v>
      </c>
      <c r="J12" t="s">
        <v>39</v>
      </c>
      <c r="K12" t="s">
        <v>63</v>
      </c>
      <c r="L12" s="1">
        <v>32080</v>
      </c>
      <c r="M12">
        <v>34</v>
      </c>
      <c r="N12" t="s">
        <v>100</v>
      </c>
      <c r="O12" t="s">
        <v>56</v>
      </c>
      <c r="P12" t="s">
        <v>43</v>
      </c>
      <c r="Q12" s="1">
        <v>43864</v>
      </c>
      <c r="R12" s="1"/>
      <c r="S12" t="s">
        <v>44</v>
      </c>
      <c r="T12">
        <v>2.1506849315068495</v>
      </c>
      <c r="U12" t="s">
        <v>67</v>
      </c>
      <c r="V12" t="s">
        <v>46</v>
      </c>
      <c r="W12" t="s">
        <v>59</v>
      </c>
      <c r="Y12" t="s">
        <v>49</v>
      </c>
      <c r="Z12" t="s">
        <v>60</v>
      </c>
    </row>
    <row r="13" spans="1:26" x14ac:dyDescent="0.25">
      <c r="A13">
        <v>940654818021992</v>
      </c>
      <c r="B13" t="s">
        <v>101</v>
      </c>
      <c r="C13" t="s">
        <v>74</v>
      </c>
      <c r="D13" t="s">
        <v>36</v>
      </c>
      <c r="E13" t="s">
        <v>37</v>
      </c>
      <c r="F13" t="s">
        <v>38</v>
      </c>
      <c r="G13">
        <v>908526</v>
      </c>
      <c r="H13">
        <v>215000</v>
      </c>
      <c r="I13">
        <v>1229980</v>
      </c>
      <c r="J13" t="s">
        <v>86</v>
      </c>
      <c r="K13" t="s">
        <v>72</v>
      </c>
      <c r="L13" s="1">
        <v>33652</v>
      </c>
      <c r="M13">
        <v>30</v>
      </c>
      <c r="N13" t="s">
        <v>102</v>
      </c>
      <c r="O13" t="s">
        <v>56</v>
      </c>
      <c r="P13" t="s">
        <v>43</v>
      </c>
      <c r="Q13" s="1">
        <v>44334</v>
      </c>
      <c r="R13" s="1">
        <v>44454</v>
      </c>
      <c r="S13" t="s">
        <v>44</v>
      </c>
      <c r="T13">
        <v>0.32876712328767121</v>
      </c>
      <c r="U13" t="s">
        <v>67</v>
      </c>
      <c r="V13" t="s">
        <v>82</v>
      </c>
      <c r="W13" t="s">
        <v>68</v>
      </c>
      <c r="Y13" t="s">
        <v>49</v>
      </c>
      <c r="Z13" t="s">
        <v>60</v>
      </c>
    </row>
    <row r="14" spans="1:26" x14ac:dyDescent="0.25">
      <c r="A14">
        <v>103831414</v>
      </c>
      <c r="B14" t="s">
        <v>103</v>
      </c>
      <c r="C14" t="s">
        <v>35</v>
      </c>
      <c r="D14" t="s">
        <v>104</v>
      </c>
      <c r="E14" t="s">
        <v>105</v>
      </c>
      <c r="F14" t="s">
        <v>79</v>
      </c>
      <c r="G14">
        <v>2000000</v>
      </c>
      <c r="H14">
        <v>0</v>
      </c>
      <c r="I14">
        <v>2000000</v>
      </c>
      <c r="J14" t="s">
        <v>106</v>
      </c>
      <c r="K14" t="s">
        <v>63</v>
      </c>
      <c r="L14" s="1">
        <v>29506</v>
      </c>
      <c r="M14">
        <v>41</v>
      </c>
      <c r="N14" t="s">
        <v>107</v>
      </c>
      <c r="O14" t="s">
        <v>108</v>
      </c>
      <c r="P14" t="s">
        <v>43</v>
      </c>
      <c r="Q14" s="1">
        <v>44265</v>
      </c>
      <c r="R14" s="1"/>
      <c r="S14" t="s">
        <v>44</v>
      </c>
      <c r="T14">
        <v>1.0520547945205478</v>
      </c>
      <c r="U14" t="s">
        <v>67</v>
      </c>
      <c r="V14" t="s">
        <v>46</v>
      </c>
      <c r="W14" t="s">
        <v>59</v>
      </c>
      <c r="Y14" t="s">
        <v>49</v>
      </c>
      <c r="Z14" t="s">
        <v>109</v>
      </c>
    </row>
    <row r="15" spans="1:26" x14ac:dyDescent="0.25">
      <c r="A15">
        <v>1035831414</v>
      </c>
      <c r="B15" t="s">
        <v>110</v>
      </c>
      <c r="C15" t="s">
        <v>35</v>
      </c>
      <c r="D15" t="s">
        <v>52</v>
      </c>
      <c r="E15" t="s">
        <v>111</v>
      </c>
      <c r="F15" t="s">
        <v>38</v>
      </c>
      <c r="G15">
        <v>454263</v>
      </c>
      <c r="H15">
        <v>0</v>
      </c>
      <c r="I15">
        <v>1000000</v>
      </c>
      <c r="J15" t="s">
        <v>39</v>
      </c>
      <c r="K15" t="s">
        <v>112</v>
      </c>
      <c r="L15" s="1">
        <v>33649</v>
      </c>
      <c r="M15">
        <v>30</v>
      </c>
      <c r="N15" t="s">
        <v>113</v>
      </c>
      <c r="O15" t="s">
        <v>56</v>
      </c>
      <c r="P15" t="s">
        <v>57</v>
      </c>
      <c r="Q15" s="1">
        <v>43991</v>
      </c>
      <c r="R15" s="1"/>
      <c r="S15" t="s">
        <v>111</v>
      </c>
      <c r="T15">
        <v>1.8027397260273972</v>
      </c>
      <c r="U15" t="s">
        <v>67</v>
      </c>
      <c r="V15" t="s">
        <v>46</v>
      </c>
      <c r="W15" t="s">
        <v>68</v>
      </c>
      <c r="Y15" t="s">
        <v>49</v>
      </c>
      <c r="Z15" t="s">
        <v>60</v>
      </c>
    </row>
    <row r="16" spans="1:26" x14ac:dyDescent="0.25">
      <c r="A16">
        <v>1042770442</v>
      </c>
      <c r="B16" t="s">
        <v>114</v>
      </c>
      <c r="C16" t="s">
        <v>74</v>
      </c>
      <c r="D16" t="s">
        <v>36</v>
      </c>
      <c r="E16" t="s">
        <v>115</v>
      </c>
      <c r="F16" t="s">
        <v>62</v>
      </c>
      <c r="G16">
        <v>908526</v>
      </c>
      <c r="H16">
        <v>360000</v>
      </c>
      <c r="I16">
        <v>1374980</v>
      </c>
      <c r="J16" t="s">
        <v>86</v>
      </c>
      <c r="K16" t="s">
        <v>75</v>
      </c>
      <c r="L16" s="1">
        <v>33830</v>
      </c>
      <c r="M16">
        <v>29</v>
      </c>
      <c r="N16" t="s">
        <v>116</v>
      </c>
      <c r="O16" t="s">
        <v>65</v>
      </c>
      <c r="P16" t="s">
        <v>57</v>
      </c>
      <c r="Q16" s="1">
        <v>43508</v>
      </c>
      <c r="R16" s="1"/>
      <c r="S16" t="s">
        <v>44</v>
      </c>
      <c r="T16">
        <v>3.1260273972602741</v>
      </c>
      <c r="U16" t="s">
        <v>67</v>
      </c>
      <c r="V16" t="s">
        <v>46</v>
      </c>
      <c r="W16" t="s">
        <v>68</v>
      </c>
      <c r="X16" t="s">
        <v>48</v>
      </c>
      <c r="Y16" t="s">
        <v>49</v>
      </c>
      <c r="Z16" t="s">
        <v>60</v>
      </c>
    </row>
    <row r="17" spans="1:26" x14ac:dyDescent="0.25">
      <c r="A17">
        <v>1128425079</v>
      </c>
      <c r="B17" t="s">
        <v>117</v>
      </c>
      <c r="C17" t="s">
        <v>74</v>
      </c>
      <c r="D17" t="s">
        <v>36</v>
      </c>
      <c r="E17" t="s">
        <v>37</v>
      </c>
      <c r="F17" t="s">
        <v>62</v>
      </c>
      <c r="G17">
        <v>908526</v>
      </c>
      <c r="H17">
        <v>168800</v>
      </c>
      <c r="I17">
        <v>1183780</v>
      </c>
      <c r="J17" t="s">
        <v>39</v>
      </c>
      <c r="K17" t="s">
        <v>118</v>
      </c>
      <c r="L17" s="1">
        <v>28791</v>
      </c>
      <c r="M17">
        <v>43</v>
      </c>
      <c r="N17" t="s">
        <v>119</v>
      </c>
      <c r="O17" t="s">
        <v>65</v>
      </c>
      <c r="P17" t="s">
        <v>57</v>
      </c>
      <c r="Q17" s="1">
        <v>44053</v>
      </c>
      <c r="R17" s="1"/>
      <c r="S17" t="s">
        <v>44</v>
      </c>
      <c r="T17">
        <v>1.6328767123287671</v>
      </c>
      <c r="U17" t="s">
        <v>120</v>
      </c>
      <c r="V17" t="s">
        <v>46</v>
      </c>
      <c r="W17" t="s">
        <v>59</v>
      </c>
      <c r="Y17" t="s">
        <v>49</v>
      </c>
      <c r="Z17" t="s">
        <v>109</v>
      </c>
    </row>
    <row r="18" spans="1:26" x14ac:dyDescent="0.25">
      <c r="A18">
        <v>71141635</v>
      </c>
      <c r="B18" t="s">
        <v>121</v>
      </c>
      <c r="C18" t="s">
        <v>74</v>
      </c>
      <c r="D18" t="s">
        <v>36</v>
      </c>
      <c r="E18" t="s">
        <v>37</v>
      </c>
      <c r="F18" t="s">
        <v>38</v>
      </c>
      <c r="G18">
        <v>908526</v>
      </c>
      <c r="H18">
        <v>255000</v>
      </c>
      <c r="I18">
        <v>1269980</v>
      </c>
      <c r="J18" t="s">
        <v>39</v>
      </c>
      <c r="K18" t="s">
        <v>63</v>
      </c>
      <c r="L18" s="1">
        <v>26896</v>
      </c>
      <c r="M18">
        <v>48</v>
      </c>
      <c r="N18" t="s">
        <v>122</v>
      </c>
      <c r="O18" t="s">
        <v>123</v>
      </c>
      <c r="P18" t="s">
        <v>57</v>
      </c>
      <c r="Q18" s="1">
        <v>42444</v>
      </c>
      <c r="R18" s="1"/>
      <c r="S18" t="s">
        <v>44</v>
      </c>
      <c r="T18">
        <v>6.0410958904109586</v>
      </c>
      <c r="U18" t="s">
        <v>45</v>
      </c>
      <c r="V18" t="s">
        <v>46</v>
      </c>
      <c r="W18" t="s">
        <v>59</v>
      </c>
      <c r="X18" t="s">
        <v>48</v>
      </c>
      <c r="Y18" t="s">
        <v>49</v>
      </c>
      <c r="Z18" t="s">
        <v>109</v>
      </c>
    </row>
    <row r="19" spans="1:26" x14ac:dyDescent="0.25">
      <c r="A19">
        <v>71398386</v>
      </c>
      <c r="B19" t="s">
        <v>124</v>
      </c>
      <c r="C19" t="s">
        <v>74</v>
      </c>
      <c r="D19" t="s">
        <v>36</v>
      </c>
      <c r="E19" t="s">
        <v>37</v>
      </c>
      <c r="F19" t="s">
        <v>62</v>
      </c>
      <c r="G19">
        <v>908526</v>
      </c>
      <c r="H19">
        <v>168800</v>
      </c>
      <c r="I19">
        <v>1183780</v>
      </c>
      <c r="J19" t="s">
        <v>71</v>
      </c>
      <c r="K19" t="s">
        <v>72</v>
      </c>
      <c r="L19" s="1">
        <v>36662</v>
      </c>
      <c r="M19">
        <v>21</v>
      </c>
      <c r="N19" t="s">
        <v>64</v>
      </c>
      <c r="O19" t="s">
        <v>65</v>
      </c>
      <c r="P19" t="s">
        <v>57</v>
      </c>
      <c r="Q19" s="1">
        <v>44271</v>
      </c>
      <c r="R19" s="1"/>
      <c r="S19" t="s">
        <v>44</v>
      </c>
      <c r="T19">
        <v>1.0356164383561643</v>
      </c>
      <c r="U19" t="s">
        <v>67</v>
      </c>
      <c r="V19" t="s">
        <v>46</v>
      </c>
      <c r="W19" t="s">
        <v>68</v>
      </c>
      <c r="Y19" t="s">
        <v>49</v>
      </c>
      <c r="Z19" t="s">
        <v>69</v>
      </c>
    </row>
    <row r="20" spans="1:26" x14ac:dyDescent="0.25">
      <c r="A20">
        <v>1026140647</v>
      </c>
      <c r="B20" t="s">
        <v>125</v>
      </c>
      <c r="C20" t="s">
        <v>74</v>
      </c>
      <c r="D20" t="s">
        <v>36</v>
      </c>
      <c r="E20" t="s">
        <v>115</v>
      </c>
      <c r="F20" t="s">
        <v>38</v>
      </c>
      <c r="G20">
        <v>908526</v>
      </c>
      <c r="H20">
        <v>315000</v>
      </c>
      <c r="I20">
        <v>1329980</v>
      </c>
      <c r="J20" t="s">
        <v>126</v>
      </c>
      <c r="K20" t="s">
        <v>118</v>
      </c>
      <c r="L20" s="1">
        <v>33055</v>
      </c>
      <c r="M20">
        <v>31</v>
      </c>
      <c r="N20" t="s">
        <v>127</v>
      </c>
      <c r="O20" t="s">
        <v>56</v>
      </c>
      <c r="P20" t="s">
        <v>43</v>
      </c>
      <c r="Q20" s="1">
        <v>42016</v>
      </c>
      <c r="R20" s="1"/>
      <c r="S20" t="s">
        <v>44</v>
      </c>
      <c r="T20">
        <v>7.2136986301369861</v>
      </c>
      <c r="U20" t="s">
        <v>128</v>
      </c>
      <c r="V20" t="s">
        <v>46</v>
      </c>
      <c r="W20" t="s">
        <v>59</v>
      </c>
      <c r="X20" t="s">
        <v>48</v>
      </c>
      <c r="Y20" t="s">
        <v>49</v>
      </c>
      <c r="Z20" t="s">
        <v>60</v>
      </c>
    </row>
    <row r="21" spans="1:26" x14ac:dyDescent="0.25">
      <c r="A21">
        <v>1042063660</v>
      </c>
      <c r="B21" t="s">
        <v>129</v>
      </c>
      <c r="C21" t="s">
        <v>74</v>
      </c>
      <c r="D21" t="s">
        <v>36</v>
      </c>
      <c r="E21" t="s">
        <v>37</v>
      </c>
      <c r="F21" t="s">
        <v>38</v>
      </c>
      <c r="G21">
        <v>908526</v>
      </c>
      <c r="H21">
        <v>255000</v>
      </c>
      <c r="I21">
        <v>1269980</v>
      </c>
      <c r="J21" t="s">
        <v>71</v>
      </c>
      <c r="K21" t="s">
        <v>63</v>
      </c>
      <c r="L21" s="1">
        <v>33793</v>
      </c>
      <c r="M21">
        <v>29</v>
      </c>
      <c r="N21" t="s">
        <v>130</v>
      </c>
      <c r="O21" t="s">
        <v>131</v>
      </c>
      <c r="P21" t="s">
        <v>43</v>
      </c>
      <c r="Q21" s="1">
        <v>43209</v>
      </c>
      <c r="R21" s="1"/>
      <c r="S21" t="s">
        <v>44</v>
      </c>
      <c r="T21">
        <v>3.9452054794520546</v>
      </c>
      <c r="U21" t="s">
        <v>67</v>
      </c>
      <c r="V21" t="s">
        <v>46</v>
      </c>
      <c r="W21" t="s">
        <v>68</v>
      </c>
      <c r="X21" t="s">
        <v>48</v>
      </c>
      <c r="Y21" t="s">
        <v>49</v>
      </c>
      <c r="Z21" t="s">
        <v>60</v>
      </c>
    </row>
    <row r="22" spans="1:26" x14ac:dyDescent="0.25">
      <c r="A22">
        <v>1022035361</v>
      </c>
      <c r="B22" t="s">
        <v>132</v>
      </c>
      <c r="C22" t="s">
        <v>74</v>
      </c>
      <c r="D22" t="s">
        <v>36</v>
      </c>
      <c r="E22" t="s">
        <v>115</v>
      </c>
      <c r="F22" t="s">
        <v>62</v>
      </c>
      <c r="G22">
        <v>908526</v>
      </c>
      <c r="H22">
        <v>300000</v>
      </c>
      <c r="I22">
        <v>1314980</v>
      </c>
      <c r="J22" t="s">
        <v>86</v>
      </c>
      <c r="K22" t="s">
        <v>75</v>
      </c>
      <c r="L22" s="1">
        <v>28818</v>
      </c>
      <c r="M22">
        <v>43</v>
      </c>
      <c r="N22" t="s">
        <v>133</v>
      </c>
      <c r="O22" t="s">
        <v>65</v>
      </c>
      <c r="P22" t="s">
        <v>57</v>
      </c>
      <c r="Q22" s="1">
        <v>43937</v>
      </c>
      <c r="R22" s="1"/>
      <c r="S22" t="s">
        <v>44</v>
      </c>
      <c r="T22">
        <v>1.9506849315068493</v>
      </c>
      <c r="U22" t="s">
        <v>67</v>
      </c>
      <c r="V22" t="s">
        <v>46</v>
      </c>
      <c r="W22" t="s">
        <v>59</v>
      </c>
      <c r="Y22" t="s">
        <v>49</v>
      </c>
      <c r="Z22" t="s">
        <v>109</v>
      </c>
    </row>
    <row r="23" spans="1:26" x14ac:dyDescent="0.25">
      <c r="A23">
        <v>1042067228</v>
      </c>
      <c r="B23" t="s">
        <v>134</v>
      </c>
      <c r="C23" t="s">
        <v>74</v>
      </c>
      <c r="D23" t="s">
        <v>36</v>
      </c>
      <c r="E23" t="s">
        <v>37</v>
      </c>
      <c r="F23" t="s">
        <v>38</v>
      </c>
      <c r="G23">
        <v>908526</v>
      </c>
      <c r="H23">
        <v>255000</v>
      </c>
      <c r="I23">
        <v>1269980</v>
      </c>
      <c r="J23" t="s">
        <v>39</v>
      </c>
      <c r="K23" t="s">
        <v>63</v>
      </c>
      <c r="L23" s="1">
        <v>36499</v>
      </c>
      <c r="M23">
        <v>22</v>
      </c>
      <c r="N23" t="s">
        <v>130</v>
      </c>
      <c r="O23" t="s">
        <v>131</v>
      </c>
      <c r="P23" t="s">
        <v>57</v>
      </c>
      <c r="Q23" s="1">
        <v>44068</v>
      </c>
      <c r="R23" s="1"/>
      <c r="S23" t="s">
        <v>44</v>
      </c>
      <c r="T23">
        <v>1.5917808219178082</v>
      </c>
      <c r="U23" t="s">
        <v>67</v>
      </c>
      <c r="V23" t="s">
        <v>46</v>
      </c>
      <c r="W23" t="s">
        <v>68</v>
      </c>
      <c r="Y23" t="s">
        <v>49</v>
      </c>
      <c r="Z23" t="s">
        <v>69</v>
      </c>
    </row>
    <row r="24" spans="1:26" x14ac:dyDescent="0.25">
      <c r="A24">
        <v>71397644</v>
      </c>
      <c r="B24" t="s">
        <v>135</v>
      </c>
      <c r="C24" t="s">
        <v>74</v>
      </c>
      <c r="D24" t="s">
        <v>36</v>
      </c>
      <c r="E24" t="s">
        <v>37</v>
      </c>
      <c r="F24" t="s">
        <v>38</v>
      </c>
      <c r="G24">
        <v>908526</v>
      </c>
      <c r="H24">
        <v>255000</v>
      </c>
      <c r="I24">
        <v>1269980</v>
      </c>
      <c r="J24" t="s">
        <v>39</v>
      </c>
      <c r="K24" t="s">
        <v>118</v>
      </c>
      <c r="L24" s="1">
        <v>28794</v>
      </c>
      <c r="M24">
        <v>43</v>
      </c>
      <c r="N24" t="s">
        <v>136</v>
      </c>
      <c r="O24" t="s">
        <v>56</v>
      </c>
      <c r="P24" t="s">
        <v>43</v>
      </c>
      <c r="Q24" s="1">
        <v>43228</v>
      </c>
      <c r="R24" s="1"/>
      <c r="S24" t="s">
        <v>44</v>
      </c>
      <c r="T24">
        <v>3.893150684931507</v>
      </c>
      <c r="U24" t="s">
        <v>67</v>
      </c>
      <c r="V24" t="s">
        <v>46</v>
      </c>
      <c r="W24" t="s">
        <v>59</v>
      </c>
      <c r="X24" t="s">
        <v>48</v>
      </c>
      <c r="Y24" t="s">
        <v>49</v>
      </c>
      <c r="Z24" t="s">
        <v>109</v>
      </c>
    </row>
    <row r="25" spans="1:26" x14ac:dyDescent="0.25">
      <c r="A25">
        <v>98530305</v>
      </c>
      <c r="B25" t="s">
        <v>137</v>
      </c>
      <c r="C25" t="s">
        <v>35</v>
      </c>
      <c r="D25" t="s">
        <v>36</v>
      </c>
      <c r="E25" t="s">
        <v>99</v>
      </c>
      <c r="F25" t="s">
        <v>38</v>
      </c>
      <c r="G25">
        <v>1700000</v>
      </c>
      <c r="H25">
        <v>0</v>
      </c>
      <c r="I25">
        <v>1806454</v>
      </c>
      <c r="J25" t="s">
        <v>138</v>
      </c>
      <c r="K25" t="s">
        <v>40</v>
      </c>
      <c r="L25" s="1">
        <v>25735</v>
      </c>
      <c r="M25">
        <v>51</v>
      </c>
      <c r="N25" t="s">
        <v>139</v>
      </c>
      <c r="O25" t="s">
        <v>140</v>
      </c>
      <c r="P25" t="s">
        <v>57</v>
      </c>
      <c r="Q25" s="1">
        <v>43577</v>
      </c>
      <c r="R25" s="1"/>
      <c r="S25" t="s">
        <v>44</v>
      </c>
      <c r="T25">
        <v>2.9369863013698629</v>
      </c>
      <c r="U25" t="s">
        <v>67</v>
      </c>
      <c r="V25" t="s">
        <v>46</v>
      </c>
      <c r="W25" t="s">
        <v>47</v>
      </c>
      <c r="Y25" t="s">
        <v>49</v>
      </c>
      <c r="Z25" t="s">
        <v>109</v>
      </c>
    </row>
    <row r="26" spans="1:26" x14ac:dyDescent="0.25">
      <c r="A26">
        <v>80645851009</v>
      </c>
      <c r="B26" t="s">
        <v>141</v>
      </c>
      <c r="C26" t="s">
        <v>35</v>
      </c>
      <c r="D26" t="s">
        <v>36</v>
      </c>
      <c r="E26" t="s">
        <v>37</v>
      </c>
      <c r="F26" t="s">
        <v>38</v>
      </c>
      <c r="G26">
        <v>908526</v>
      </c>
      <c r="H26">
        <v>282000</v>
      </c>
      <c r="I26">
        <v>1296980</v>
      </c>
      <c r="J26" t="s">
        <v>142</v>
      </c>
      <c r="K26" t="s">
        <v>143</v>
      </c>
      <c r="L26" s="1">
        <v>34587</v>
      </c>
      <c r="M26">
        <v>27</v>
      </c>
      <c r="N26" t="s">
        <v>144</v>
      </c>
      <c r="O26" t="s">
        <v>56</v>
      </c>
      <c r="P26" t="s">
        <v>43</v>
      </c>
      <c r="Q26" s="1">
        <v>43853</v>
      </c>
      <c r="R26" s="1"/>
      <c r="S26" t="s">
        <v>44</v>
      </c>
      <c r="T26">
        <v>2.1808219178082191</v>
      </c>
      <c r="U26" t="s">
        <v>67</v>
      </c>
      <c r="V26" t="s">
        <v>46</v>
      </c>
      <c r="W26" t="s">
        <v>68</v>
      </c>
      <c r="Y26" t="s">
        <v>49</v>
      </c>
      <c r="Z26" t="s">
        <v>69</v>
      </c>
    </row>
    <row r="27" spans="1:26" x14ac:dyDescent="0.25">
      <c r="A27">
        <v>98694825</v>
      </c>
      <c r="B27" t="s">
        <v>145</v>
      </c>
      <c r="C27" t="s">
        <v>74</v>
      </c>
      <c r="D27" t="s">
        <v>52</v>
      </c>
      <c r="E27" t="s">
        <v>146</v>
      </c>
      <c r="F27" t="s">
        <v>38</v>
      </c>
      <c r="G27">
        <v>1600000</v>
      </c>
      <c r="H27">
        <v>0</v>
      </c>
      <c r="I27">
        <v>1706454</v>
      </c>
      <c r="J27" t="s">
        <v>39</v>
      </c>
      <c r="K27" t="s">
        <v>63</v>
      </c>
      <c r="L27" s="1">
        <v>29993</v>
      </c>
      <c r="M27">
        <v>40</v>
      </c>
      <c r="N27" t="s">
        <v>147</v>
      </c>
      <c r="O27" t="s">
        <v>148</v>
      </c>
      <c r="P27" t="s">
        <v>57</v>
      </c>
      <c r="Q27" s="1">
        <v>44147</v>
      </c>
      <c r="R27" s="1"/>
      <c r="S27" t="s">
        <v>44</v>
      </c>
      <c r="T27">
        <v>1.3753424657534246</v>
      </c>
      <c r="U27" t="s">
        <v>67</v>
      </c>
      <c r="V27" t="s">
        <v>46</v>
      </c>
      <c r="W27" t="s">
        <v>59</v>
      </c>
      <c r="X27" t="s">
        <v>48</v>
      </c>
      <c r="Y27" t="s">
        <v>49</v>
      </c>
      <c r="Z27" t="s">
        <v>60</v>
      </c>
    </row>
    <row r="28" spans="1:26" x14ac:dyDescent="0.25">
      <c r="A28">
        <v>70787162</v>
      </c>
      <c r="B28" t="s">
        <v>149</v>
      </c>
      <c r="C28" t="s">
        <v>74</v>
      </c>
      <c r="D28" t="s">
        <v>36</v>
      </c>
      <c r="E28" t="s">
        <v>115</v>
      </c>
      <c r="F28" t="s">
        <v>79</v>
      </c>
      <c r="G28">
        <v>1100000</v>
      </c>
      <c r="H28">
        <v>400000</v>
      </c>
      <c r="I28">
        <v>1606454</v>
      </c>
      <c r="J28" t="s">
        <v>39</v>
      </c>
      <c r="K28" t="s">
        <v>150</v>
      </c>
      <c r="L28" s="1">
        <v>30994</v>
      </c>
      <c r="M28">
        <v>37</v>
      </c>
      <c r="N28" t="s">
        <v>151</v>
      </c>
      <c r="O28" t="s">
        <v>152</v>
      </c>
      <c r="P28" t="s">
        <v>43</v>
      </c>
      <c r="Q28" s="1">
        <v>44237</v>
      </c>
      <c r="R28" s="1"/>
      <c r="S28" t="s">
        <v>44</v>
      </c>
      <c r="T28">
        <v>1.1287671232876713</v>
      </c>
      <c r="U28" t="s">
        <v>67</v>
      </c>
      <c r="V28" t="s">
        <v>46</v>
      </c>
      <c r="W28" t="s">
        <v>59</v>
      </c>
      <c r="Y28" t="s">
        <v>49</v>
      </c>
      <c r="Z28" t="s">
        <v>60</v>
      </c>
    </row>
    <row r="29" spans="1:26" x14ac:dyDescent="0.25">
      <c r="A29">
        <v>80115302</v>
      </c>
      <c r="B29" t="s">
        <v>153</v>
      </c>
      <c r="C29" t="s">
        <v>74</v>
      </c>
      <c r="D29" t="s">
        <v>36</v>
      </c>
      <c r="E29" t="s">
        <v>37</v>
      </c>
      <c r="F29" t="s">
        <v>62</v>
      </c>
      <c r="G29">
        <v>908526</v>
      </c>
      <c r="H29">
        <v>168800</v>
      </c>
      <c r="I29">
        <v>1183780</v>
      </c>
      <c r="J29" t="s">
        <v>142</v>
      </c>
      <c r="K29" t="s">
        <v>80</v>
      </c>
      <c r="L29" s="1">
        <v>33222</v>
      </c>
      <c r="M29">
        <v>31</v>
      </c>
      <c r="N29" t="s">
        <v>154</v>
      </c>
      <c r="O29" t="s">
        <v>155</v>
      </c>
      <c r="P29" t="s">
        <v>57</v>
      </c>
      <c r="Q29" s="1">
        <v>44403</v>
      </c>
      <c r="R29" s="1"/>
      <c r="S29" t="s">
        <v>44</v>
      </c>
      <c r="T29">
        <v>0.67397260273972603</v>
      </c>
      <c r="U29" t="s">
        <v>45</v>
      </c>
      <c r="V29" t="s">
        <v>46</v>
      </c>
      <c r="W29" t="s">
        <v>59</v>
      </c>
      <c r="Y29" t="s">
        <v>49</v>
      </c>
      <c r="Z29" t="s">
        <v>60</v>
      </c>
    </row>
    <row r="30" spans="1:26" x14ac:dyDescent="0.25">
      <c r="A30">
        <v>1152440303</v>
      </c>
      <c r="B30" t="s">
        <v>156</v>
      </c>
      <c r="C30" t="s">
        <v>35</v>
      </c>
      <c r="D30" t="s">
        <v>52</v>
      </c>
      <c r="E30" t="s">
        <v>157</v>
      </c>
      <c r="F30" t="s">
        <v>38</v>
      </c>
      <c r="G30">
        <v>1600000</v>
      </c>
      <c r="H30">
        <v>0</v>
      </c>
      <c r="I30">
        <v>1706454</v>
      </c>
      <c r="J30" t="s">
        <v>158</v>
      </c>
      <c r="K30" t="s">
        <v>112</v>
      </c>
      <c r="L30" s="1">
        <v>33569</v>
      </c>
      <c r="M30">
        <v>30</v>
      </c>
      <c r="N30" t="s">
        <v>159</v>
      </c>
      <c r="O30" t="s">
        <v>38</v>
      </c>
      <c r="P30" t="s">
        <v>57</v>
      </c>
      <c r="Q30" s="1">
        <v>44020</v>
      </c>
      <c r="R30" s="1">
        <v>44454</v>
      </c>
      <c r="S30" t="s">
        <v>44</v>
      </c>
      <c r="T30">
        <v>1.189041095890411</v>
      </c>
      <c r="U30" t="s">
        <v>67</v>
      </c>
      <c r="V30" t="s">
        <v>82</v>
      </c>
      <c r="W30" t="s">
        <v>68</v>
      </c>
      <c r="Y30" t="s">
        <v>49</v>
      </c>
      <c r="Z30" t="s">
        <v>60</v>
      </c>
    </row>
    <row r="31" spans="1:26" x14ac:dyDescent="0.25">
      <c r="A31">
        <v>1042064304</v>
      </c>
      <c r="B31" t="s">
        <v>160</v>
      </c>
      <c r="C31" t="s">
        <v>74</v>
      </c>
      <c r="D31" t="s">
        <v>36</v>
      </c>
      <c r="E31" t="s">
        <v>37</v>
      </c>
      <c r="F31" t="s">
        <v>62</v>
      </c>
      <c r="G31">
        <v>908526</v>
      </c>
      <c r="H31">
        <v>168800</v>
      </c>
      <c r="I31">
        <v>1183780</v>
      </c>
      <c r="J31" t="s">
        <v>161</v>
      </c>
      <c r="K31" t="s">
        <v>63</v>
      </c>
      <c r="L31" s="1">
        <v>36205</v>
      </c>
      <c r="M31">
        <v>23</v>
      </c>
      <c r="N31" t="s">
        <v>162</v>
      </c>
      <c r="O31" t="s">
        <v>155</v>
      </c>
      <c r="P31" t="s">
        <v>43</v>
      </c>
      <c r="Q31" s="1">
        <v>44403</v>
      </c>
      <c r="R31" s="1"/>
      <c r="S31" t="s">
        <v>44</v>
      </c>
      <c r="T31">
        <v>0.67397260273972603</v>
      </c>
      <c r="U31" t="s">
        <v>120</v>
      </c>
      <c r="V31" t="s">
        <v>46</v>
      </c>
      <c r="W31" t="s">
        <v>68</v>
      </c>
      <c r="Y31" t="s">
        <v>49</v>
      </c>
      <c r="Z31" t="s">
        <v>69</v>
      </c>
    </row>
    <row r="32" spans="1:26" x14ac:dyDescent="0.25">
      <c r="A32">
        <v>1042062987</v>
      </c>
      <c r="B32" t="s">
        <v>163</v>
      </c>
      <c r="C32" t="s">
        <v>74</v>
      </c>
      <c r="D32" t="s">
        <v>36</v>
      </c>
      <c r="E32" t="s">
        <v>37</v>
      </c>
      <c r="F32" t="s">
        <v>38</v>
      </c>
      <c r="G32">
        <v>908526</v>
      </c>
      <c r="H32">
        <v>255000</v>
      </c>
      <c r="I32">
        <v>1269980</v>
      </c>
      <c r="J32" t="s">
        <v>39</v>
      </c>
      <c r="K32" t="s">
        <v>118</v>
      </c>
      <c r="L32" s="1">
        <v>32943</v>
      </c>
      <c r="M32">
        <v>32</v>
      </c>
      <c r="N32" t="s">
        <v>164</v>
      </c>
      <c r="O32" t="s">
        <v>131</v>
      </c>
      <c r="P32" t="s">
        <v>57</v>
      </c>
      <c r="Q32" s="1">
        <v>43206</v>
      </c>
      <c r="R32" s="1"/>
      <c r="S32" t="s">
        <v>44</v>
      </c>
      <c r="T32">
        <v>3.9534246575342467</v>
      </c>
      <c r="U32" t="s">
        <v>128</v>
      </c>
      <c r="V32" t="s">
        <v>46</v>
      </c>
      <c r="W32" t="s">
        <v>59</v>
      </c>
      <c r="X32" t="s">
        <v>48</v>
      </c>
      <c r="Y32" t="s">
        <v>49</v>
      </c>
      <c r="Z32" t="s">
        <v>60</v>
      </c>
    </row>
    <row r="33" spans="1:26" x14ac:dyDescent="0.25">
      <c r="A33">
        <v>1039050121</v>
      </c>
      <c r="B33" t="s">
        <v>165</v>
      </c>
      <c r="C33" t="s">
        <v>74</v>
      </c>
      <c r="D33" t="s">
        <v>52</v>
      </c>
      <c r="E33" t="s">
        <v>111</v>
      </c>
      <c r="F33" t="s">
        <v>79</v>
      </c>
      <c r="G33">
        <v>681394</v>
      </c>
      <c r="H33">
        <v>0</v>
      </c>
      <c r="I33">
        <v>1000000</v>
      </c>
      <c r="J33" t="s">
        <v>126</v>
      </c>
      <c r="K33" t="s">
        <v>63</v>
      </c>
      <c r="L33" s="1">
        <v>34402</v>
      </c>
      <c r="M33">
        <v>28</v>
      </c>
      <c r="N33" t="s">
        <v>166</v>
      </c>
      <c r="O33" t="s">
        <v>38</v>
      </c>
      <c r="P33" t="s">
        <v>66</v>
      </c>
      <c r="Q33" s="1">
        <v>44419</v>
      </c>
      <c r="R33" s="1"/>
      <c r="S33" t="s">
        <v>44</v>
      </c>
      <c r="T33">
        <v>0.63013698630136983</v>
      </c>
      <c r="U33" t="s">
        <v>67</v>
      </c>
      <c r="V33" t="s">
        <v>46</v>
      </c>
      <c r="W33" t="s">
        <v>68</v>
      </c>
      <c r="Y33" t="s">
        <v>49</v>
      </c>
      <c r="Z33" t="s">
        <v>69</v>
      </c>
    </row>
    <row r="34" spans="1:26" x14ac:dyDescent="0.25">
      <c r="A34">
        <v>1040749604</v>
      </c>
      <c r="B34" t="s">
        <v>167</v>
      </c>
      <c r="C34" t="s">
        <v>74</v>
      </c>
      <c r="D34" t="s">
        <v>94</v>
      </c>
      <c r="E34" t="s">
        <v>95</v>
      </c>
      <c r="F34" t="s">
        <v>79</v>
      </c>
      <c r="G34">
        <v>908526</v>
      </c>
      <c r="H34">
        <v>0</v>
      </c>
      <c r="I34">
        <v>1000000</v>
      </c>
      <c r="J34" t="s">
        <v>39</v>
      </c>
      <c r="K34" t="s">
        <v>75</v>
      </c>
      <c r="L34" s="1">
        <v>34789</v>
      </c>
      <c r="M34">
        <v>26</v>
      </c>
      <c r="N34" t="s">
        <v>168</v>
      </c>
      <c r="O34" t="s">
        <v>169</v>
      </c>
      <c r="P34" t="s">
        <v>57</v>
      </c>
      <c r="Q34" s="1">
        <v>43507</v>
      </c>
      <c r="R34" s="1"/>
      <c r="S34" t="s">
        <v>44</v>
      </c>
      <c r="T34">
        <v>3.128767123287671</v>
      </c>
      <c r="U34" t="s">
        <v>67</v>
      </c>
      <c r="V34" t="s">
        <v>46</v>
      </c>
      <c r="W34" t="s">
        <v>68</v>
      </c>
      <c r="X34" t="s">
        <v>48</v>
      </c>
      <c r="Y34" t="s">
        <v>49</v>
      </c>
      <c r="Z34" t="s">
        <v>69</v>
      </c>
    </row>
    <row r="35" spans="1:26" x14ac:dyDescent="0.25">
      <c r="A35">
        <v>1040183216</v>
      </c>
      <c r="B35" t="s">
        <v>170</v>
      </c>
      <c r="C35" t="s">
        <v>74</v>
      </c>
      <c r="D35" t="s">
        <v>36</v>
      </c>
      <c r="E35" t="s">
        <v>37</v>
      </c>
      <c r="F35" t="s">
        <v>38</v>
      </c>
      <c r="G35">
        <v>908526</v>
      </c>
      <c r="H35">
        <v>215000</v>
      </c>
      <c r="I35">
        <v>1229980</v>
      </c>
      <c r="J35" t="s">
        <v>86</v>
      </c>
      <c r="K35" t="s">
        <v>118</v>
      </c>
      <c r="L35" s="1">
        <v>34542</v>
      </c>
      <c r="M35">
        <v>27</v>
      </c>
      <c r="N35" t="s">
        <v>130</v>
      </c>
      <c r="O35" t="s">
        <v>131</v>
      </c>
      <c r="P35" t="s">
        <v>57</v>
      </c>
      <c r="Q35" s="1">
        <v>44067</v>
      </c>
      <c r="R35" s="1"/>
      <c r="S35" t="s">
        <v>44</v>
      </c>
      <c r="T35">
        <v>1.5945205479452054</v>
      </c>
      <c r="U35" t="s">
        <v>67</v>
      </c>
      <c r="V35" t="s">
        <v>46</v>
      </c>
      <c r="W35" t="s">
        <v>68</v>
      </c>
      <c r="Y35" t="s">
        <v>49</v>
      </c>
      <c r="Z35" t="s">
        <v>69</v>
      </c>
    </row>
    <row r="36" spans="1:26" x14ac:dyDescent="0.25">
      <c r="A36">
        <v>1039049917</v>
      </c>
      <c r="B36" t="s">
        <v>171</v>
      </c>
      <c r="C36" t="s">
        <v>74</v>
      </c>
      <c r="D36" t="s">
        <v>36</v>
      </c>
      <c r="E36" t="s">
        <v>37</v>
      </c>
      <c r="F36" t="s">
        <v>38</v>
      </c>
      <c r="G36">
        <v>908526</v>
      </c>
      <c r="H36">
        <v>215000</v>
      </c>
      <c r="I36">
        <v>1229980</v>
      </c>
      <c r="J36" t="s">
        <v>86</v>
      </c>
      <c r="K36" t="s">
        <v>72</v>
      </c>
      <c r="L36" s="1">
        <v>35440</v>
      </c>
      <c r="M36">
        <v>25</v>
      </c>
      <c r="N36" t="s">
        <v>172</v>
      </c>
      <c r="O36" t="s">
        <v>173</v>
      </c>
      <c r="P36" t="s">
        <v>43</v>
      </c>
      <c r="Q36" s="1">
        <v>44208</v>
      </c>
      <c r="R36" s="1"/>
      <c r="S36" t="s">
        <v>44</v>
      </c>
      <c r="T36">
        <v>1.2082191780821918</v>
      </c>
      <c r="U36" t="s">
        <v>67</v>
      </c>
      <c r="V36" t="s">
        <v>46</v>
      </c>
      <c r="W36" t="s">
        <v>68</v>
      </c>
      <c r="Y36" t="s">
        <v>49</v>
      </c>
      <c r="Z36" t="s">
        <v>69</v>
      </c>
    </row>
    <row r="37" spans="1:26" x14ac:dyDescent="0.25">
      <c r="A37">
        <v>1001587906</v>
      </c>
      <c r="B37" t="s">
        <v>174</v>
      </c>
      <c r="C37" t="s">
        <v>74</v>
      </c>
      <c r="D37" t="s">
        <v>52</v>
      </c>
      <c r="E37" t="s">
        <v>175</v>
      </c>
      <c r="F37" t="s">
        <v>38</v>
      </c>
      <c r="G37">
        <v>3000000</v>
      </c>
      <c r="H37">
        <v>0</v>
      </c>
      <c r="I37">
        <v>3000000</v>
      </c>
      <c r="J37" t="s">
        <v>39</v>
      </c>
      <c r="K37" t="s">
        <v>72</v>
      </c>
      <c r="L37" s="1">
        <v>34025</v>
      </c>
      <c r="M37">
        <v>29</v>
      </c>
      <c r="N37" t="s">
        <v>176</v>
      </c>
      <c r="O37" t="s">
        <v>97</v>
      </c>
      <c r="P37" t="s">
        <v>57</v>
      </c>
      <c r="Q37" s="1">
        <v>44334</v>
      </c>
      <c r="R37" s="1"/>
      <c r="S37" t="s">
        <v>44</v>
      </c>
      <c r="T37">
        <v>0.86301369863013699</v>
      </c>
      <c r="U37" t="s">
        <v>67</v>
      </c>
      <c r="V37" t="s">
        <v>46</v>
      </c>
      <c r="W37" t="s">
        <v>68</v>
      </c>
      <c r="Y37" t="s">
        <v>49</v>
      </c>
      <c r="Z37" t="s">
        <v>60</v>
      </c>
    </row>
    <row r="38" spans="1:26" x14ac:dyDescent="0.25">
      <c r="A38">
        <v>1001812471</v>
      </c>
      <c r="B38" t="s">
        <v>177</v>
      </c>
      <c r="C38" t="s">
        <v>74</v>
      </c>
      <c r="D38" t="s">
        <v>36</v>
      </c>
      <c r="E38" t="s">
        <v>37</v>
      </c>
      <c r="F38" t="s">
        <v>62</v>
      </c>
      <c r="G38">
        <v>908526</v>
      </c>
      <c r="H38">
        <v>168800</v>
      </c>
      <c r="I38">
        <v>1183780</v>
      </c>
      <c r="J38" t="s">
        <v>71</v>
      </c>
      <c r="L38" s="1">
        <v>37678</v>
      </c>
      <c r="M38">
        <v>19</v>
      </c>
      <c r="N38" t="s">
        <v>178</v>
      </c>
      <c r="O38" t="s">
        <v>155</v>
      </c>
      <c r="P38" t="s">
        <v>57</v>
      </c>
      <c r="Q38" s="1">
        <v>44403</v>
      </c>
      <c r="R38" s="1">
        <v>44454</v>
      </c>
      <c r="S38" t="s">
        <v>44</v>
      </c>
      <c r="T38">
        <v>0.13972602739726028</v>
      </c>
      <c r="U38" t="s">
        <v>128</v>
      </c>
      <c r="V38" t="s">
        <v>82</v>
      </c>
      <c r="W38" t="s">
        <v>68</v>
      </c>
      <c r="Y38" t="s">
        <v>49</v>
      </c>
      <c r="Z38" t="s">
        <v>69</v>
      </c>
    </row>
    <row r="39" spans="1:26" x14ac:dyDescent="0.25">
      <c r="A39">
        <v>1214722307</v>
      </c>
      <c r="B39" t="s">
        <v>179</v>
      </c>
      <c r="C39" t="s">
        <v>35</v>
      </c>
      <c r="D39" t="s">
        <v>36</v>
      </c>
      <c r="E39" t="s">
        <v>37</v>
      </c>
      <c r="F39" t="s">
        <v>79</v>
      </c>
      <c r="G39">
        <v>908526</v>
      </c>
      <c r="H39">
        <v>215000</v>
      </c>
      <c r="I39">
        <v>1229980</v>
      </c>
      <c r="J39" t="s">
        <v>39</v>
      </c>
      <c r="K39" t="s">
        <v>75</v>
      </c>
      <c r="L39" s="1">
        <v>34323</v>
      </c>
      <c r="M39">
        <v>28</v>
      </c>
      <c r="N39" t="s">
        <v>180</v>
      </c>
      <c r="O39" t="s">
        <v>181</v>
      </c>
      <c r="P39" t="s">
        <v>57</v>
      </c>
      <c r="Q39" s="1">
        <v>44235</v>
      </c>
      <c r="R39" s="1"/>
      <c r="S39" t="s">
        <v>44</v>
      </c>
      <c r="T39">
        <v>1.1342465753424658</v>
      </c>
      <c r="U39" t="s">
        <v>67</v>
      </c>
      <c r="V39" t="s">
        <v>46</v>
      </c>
      <c r="W39" t="s">
        <v>68</v>
      </c>
      <c r="Y39" t="s">
        <v>49</v>
      </c>
      <c r="Z39" t="s">
        <v>60</v>
      </c>
    </row>
    <row r="40" spans="1:26" x14ac:dyDescent="0.25">
      <c r="A40">
        <v>3592347</v>
      </c>
      <c r="B40" t="s">
        <v>182</v>
      </c>
      <c r="C40" t="s">
        <v>74</v>
      </c>
      <c r="D40" t="s">
        <v>36</v>
      </c>
      <c r="E40" t="s">
        <v>37</v>
      </c>
      <c r="F40" t="s">
        <v>38</v>
      </c>
      <c r="G40">
        <v>908526</v>
      </c>
      <c r="H40">
        <v>255000</v>
      </c>
      <c r="I40">
        <v>1269980</v>
      </c>
      <c r="J40" t="s">
        <v>39</v>
      </c>
      <c r="K40" t="s">
        <v>63</v>
      </c>
      <c r="L40" s="1">
        <v>29142</v>
      </c>
      <c r="M40">
        <v>42</v>
      </c>
      <c r="N40" t="s">
        <v>130</v>
      </c>
      <c r="O40" t="s">
        <v>56</v>
      </c>
      <c r="P40" t="s">
        <v>43</v>
      </c>
      <c r="Q40" s="1">
        <v>42373</v>
      </c>
      <c r="R40" s="1"/>
      <c r="S40" t="s">
        <v>44</v>
      </c>
      <c r="T40">
        <v>6.2356164383561641</v>
      </c>
      <c r="U40" t="s">
        <v>45</v>
      </c>
      <c r="V40" t="s">
        <v>46</v>
      </c>
      <c r="W40" t="s">
        <v>59</v>
      </c>
      <c r="X40" t="s">
        <v>48</v>
      </c>
      <c r="Y40" t="s">
        <v>49</v>
      </c>
      <c r="Z40" t="s">
        <v>109</v>
      </c>
    </row>
    <row r="41" spans="1:26" x14ac:dyDescent="0.25">
      <c r="A41">
        <v>1026138195</v>
      </c>
      <c r="B41" t="s">
        <v>183</v>
      </c>
      <c r="C41" t="s">
        <v>74</v>
      </c>
      <c r="D41" t="s">
        <v>36</v>
      </c>
      <c r="E41" t="s">
        <v>184</v>
      </c>
      <c r="F41" t="s">
        <v>38</v>
      </c>
      <c r="G41">
        <v>908526</v>
      </c>
      <c r="H41">
        <v>460000</v>
      </c>
      <c r="I41">
        <v>1474980</v>
      </c>
      <c r="J41" t="s">
        <v>39</v>
      </c>
      <c r="K41" t="s">
        <v>75</v>
      </c>
      <c r="L41" s="1">
        <v>34759</v>
      </c>
      <c r="M41">
        <v>27</v>
      </c>
      <c r="N41" t="s">
        <v>185</v>
      </c>
      <c r="O41" t="s">
        <v>186</v>
      </c>
      <c r="P41" t="s">
        <v>43</v>
      </c>
      <c r="Q41" s="1">
        <v>44334</v>
      </c>
      <c r="R41" s="1"/>
      <c r="S41" t="s">
        <v>44</v>
      </c>
      <c r="T41">
        <v>0.86301369863013699</v>
      </c>
      <c r="U41" t="s">
        <v>67</v>
      </c>
      <c r="V41" t="s">
        <v>46</v>
      </c>
      <c r="W41" t="s">
        <v>68</v>
      </c>
      <c r="Y41" t="s">
        <v>49</v>
      </c>
      <c r="Z41" t="s">
        <v>69</v>
      </c>
    </row>
    <row r="42" spans="1:26" x14ac:dyDescent="0.25">
      <c r="A42">
        <v>8071511</v>
      </c>
      <c r="B42" t="s">
        <v>187</v>
      </c>
      <c r="C42" t="s">
        <v>74</v>
      </c>
      <c r="D42" t="s">
        <v>52</v>
      </c>
      <c r="E42" t="s">
        <v>188</v>
      </c>
      <c r="F42" t="s">
        <v>38</v>
      </c>
      <c r="G42">
        <v>2500000</v>
      </c>
      <c r="H42">
        <v>700000</v>
      </c>
      <c r="I42">
        <v>3000000</v>
      </c>
      <c r="J42" t="s">
        <v>39</v>
      </c>
      <c r="K42" t="s">
        <v>189</v>
      </c>
      <c r="L42" s="1">
        <v>31246</v>
      </c>
      <c r="M42">
        <v>36</v>
      </c>
      <c r="N42" t="s">
        <v>91</v>
      </c>
      <c r="O42" t="s">
        <v>56</v>
      </c>
      <c r="P42" t="s">
        <v>57</v>
      </c>
      <c r="Q42" s="1">
        <v>41715</v>
      </c>
      <c r="R42" s="1"/>
      <c r="S42" t="s">
        <v>44</v>
      </c>
      <c r="T42">
        <v>8.0383561643835613</v>
      </c>
      <c r="U42" t="s">
        <v>67</v>
      </c>
      <c r="V42" t="s">
        <v>46</v>
      </c>
      <c r="W42" t="s">
        <v>59</v>
      </c>
      <c r="X42" t="s">
        <v>48</v>
      </c>
      <c r="Y42" t="s">
        <v>49</v>
      </c>
      <c r="Z42" t="s">
        <v>60</v>
      </c>
    </row>
    <row r="43" spans="1:26" x14ac:dyDescent="0.25">
      <c r="A43">
        <v>1026132401</v>
      </c>
      <c r="B43" t="s">
        <v>190</v>
      </c>
      <c r="C43" t="s">
        <v>74</v>
      </c>
      <c r="D43" t="s">
        <v>36</v>
      </c>
      <c r="E43" t="s">
        <v>115</v>
      </c>
      <c r="F43" t="s">
        <v>38</v>
      </c>
      <c r="G43">
        <v>1300000</v>
      </c>
      <c r="H43">
        <v>300000</v>
      </c>
      <c r="I43">
        <v>1706454</v>
      </c>
      <c r="J43" t="s">
        <v>39</v>
      </c>
      <c r="K43" t="s">
        <v>40</v>
      </c>
      <c r="L43" s="1">
        <v>31776</v>
      </c>
      <c r="M43">
        <v>35</v>
      </c>
      <c r="N43" t="s">
        <v>191</v>
      </c>
      <c r="O43" t="s">
        <v>56</v>
      </c>
      <c r="P43" t="s">
        <v>57</v>
      </c>
      <c r="Q43" s="1">
        <v>41289</v>
      </c>
      <c r="R43" s="1"/>
      <c r="S43" t="s">
        <v>44</v>
      </c>
      <c r="T43">
        <v>9.205479452054794</v>
      </c>
      <c r="U43" t="s">
        <v>128</v>
      </c>
      <c r="V43" t="s">
        <v>46</v>
      </c>
      <c r="W43" t="s">
        <v>59</v>
      </c>
      <c r="X43" t="s">
        <v>48</v>
      </c>
      <c r="Y43" t="s">
        <v>49</v>
      </c>
      <c r="Z43" t="s">
        <v>60</v>
      </c>
    </row>
    <row r="44" spans="1:26" x14ac:dyDescent="0.25">
      <c r="A44">
        <v>15339908</v>
      </c>
      <c r="B44" t="s">
        <v>192</v>
      </c>
      <c r="C44" t="s">
        <v>74</v>
      </c>
      <c r="D44" t="s">
        <v>36</v>
      </c>
      <c r="E44" t="s">
        <v>37</v>
      </c>
      <c r="F44" t="s">
        <v>38</v>
      </c>
      <c r="G44">
        <v>908526</v>
      </c>
      <c r="H44">
        <v>215000</v>
      </c>
      <c r="I44">
        <v>1229980</v>
      </c>
      <c r="J44" t="s">
        <v>39</v>
      </c>
      <c r="K44" t="s">
        <v>75</v>
      </c>
      <c r="L44" s="1">
        <v>28913</v>
      </c>
      <c r="M44">
        <v>43</v>
      </c>
      <c r="N44" t="s">
        <v>193</v>
      </c>
      <c r="O44" t="s">
        <v>130</v>
      </c>
      <c r="P44" t="s">
        <v>43</v>
      </c>
      <c r="Q44" s="1">
        <v>42626</v>
      </c>
      <c r="R44" s="1"/>
      <c r="S44" t="s">
        <v>44</v>
      </c>
      <c r="T44">
        <v>5.5424657534246577</v>
      </c>
      <c r="U44" t="s">
        <v>45</v>
      </c>
      <c r="V44" t="s">
        <v>46</v>
      </c>
      <c r="W44" t="s">
        <v>59</v>
      </c>
      <c r="X44" t="s">
        <v>48</v>
      </c>
      <c r="Y44" t="s">
        <v>49</v>
      </c>
      <c r="Z44" t="s">
        <v>109</v>
      </c>
    </row>
    <row r="45" spans="1:26" x14ac:dyDescent="0.25">
      <c r="A45">
        <v>1108764612</v>
      </c>
      <c r="B45" t="s">
        <v>194</v>
      </c>
      <c r="C45" t="s">
        <v>74</v>
      </c>
      <c r="D45" t="s">
        <v>36</v>
      </c>
      <c r="E45" t="s">
        <v>37</v>
      </c>
      <c r="F45" t="s">
        <v>38</v>
      </c>
      <c r="G45">
        <v>908526</v>
      </c>
      <c r="H45">
        <v>255000</v>
      </c>
      <c r="I45">
        <v>1269980</v>
      </c>
      <c r="J45" t="s">
        <v>71</v>
      </c>
      <c r="K45" t="s">
        <v>118</v>
      </c>
      <c r="L45" s="1">
        <v>34602</v>
      </c>
      <c r="M45">
        <v>27</v>
      </c>
      <c r="N45" t="s">
        <v>195</v>
      </c>
      <c r="O45" t="s">
        <v>56</v>
      </c>
      <c r="P45" t="s">
        <v>57</v>
      </c>
      <c r="Q45" s="1">
        <v>44075</v>
      </c>
      <c r="R45" s="1"/>
      <c r="S45" t="s">
        <v>44</v>
      </c>
      <c r="T45">
        <v>1.5726027397260274</v>
      </c>
      <c r="U45" t="s">
        <v>67</v>
      </c>
      <c r="V45" t="s">
        <v>46</v>
      </c>
      <c r="W45" t="s">
        <v>68</v>
      </c>
      <c r="X45" t="s">
        <v>48</v>
      </c>
      <c r="Y45" t="s">
        <v>49</v>
      </c>
      <c r="Z45" t="s">
        <v>69</v>
      </c>
    </row>
    <row r="46" spans="1:26" x14ac:dyDescent="0.25">
      <c r="A46">
        <v>71396065</v>
      </c>
      <c r="B46" t="s">
        <v>196</v>
      </c>
      <c r="C46" t="s">
        <v>74</v>
      </c>
      <c r="D46" t="s">
        <v>36</v>
      </c>
      <c r="E46" t="s">
        <v>197</v>
      </c>
      <c r="F46" t="s">
        <v>38</v>
      </c>
      <c r="G46">
        <v>908526</v>
      </c>
      <c r="H46">
        <v>255000</v>
      </c>
      <c r="I46">
        <v>1269980</v>
      </c>
      <c r="J46" t="s">
        <v>39</v>
      </c>
      <c r="K46" t="s">
        <v>40</v>
      </c>
      <c r="L46" s="1">
        <v>27721</v>
      </c>
      <c r="M46">
        <v>46</v>
      </c>
      <c r="N46" t="s">
        <v>198</v>
      </c>
      <c r="O46" t="s">
        <v>56</v>
      </c>
      <c r="P46" t="s">
        <v>57</v>
      </c>
      <c r="Q46" s="1">
        <v>43214</v>
      </c>
      <c r="R46" s="1">
        <v>44473</v>
      </c>
      <c r="S46" t="s">
        <v>44</v>
      </c>
      <c r="T46">
        <v>3.4493150684931506</v>
      </c>
      <c r="U46" t="s">
        <v>45</v>
      </c>
      <c r="V46" t="s">
        <v>82</v>
      </c>
      <c r="W46" t="s">
        <v>59</v>
      </c>
      <c r="X46" t="s">
        <v>48</v>
      </c>
      <c r="Y46" t="s">
        <v>49</v>
      </c>
      <c r="Z46" t="s">
        <v>109</v>
      </c>
    </row>
    <row r="47" spans="1:26" x14ac:dyDescent="0.25">
      <c r="A47">
        <v>71398693</v>
      </c>
      <c r="B47" t="s">
        <v>199</v>
      </c>
      <c r="C47" t="s">
        <v>74</v>
      </c>
      <c r="D47" t="s">
        <v>36</v>
      </c>
      <c r="E47" t="s">
        <v>200</v>
      </c>
      <c r="F47" t="s">
        <v>38</v>
      </c>
      <c r="G47">
        <v>1850000</v>
      </c>
      <c r="H47">
        <v>0</v>
      </c>
      <c r="I47">
        <v>1956454</v>
      </c>
      <c r="J47" t="s">
        <v>39</v>
      </c>
      <c r="K47" t="s">
        <v>40</v>
      </c>
      <c r="L47" s="1">
        <v>29479</v>
      </c>
      <c r="M47">
        <v>41</v>
      </c>
      <c r="N47" t="s">
        <v>201</v>
      </c>
      <c r="O47" t="s">
        <v>56</v>
      </c>
      <c r="P47" t="s">
        <v>57</v>
      </c>
      <c r="Q47" s="1">
        <v>41646</v>
      </c>
      <c r="R47" s="1"/>
      <c r="S47" t="s">
        <v>44</v>
      </c>
      <c r="T47">
        <v>8.2273972602739729</v>
      </c>
      <c r="U47" t="s">
        <v>67</v>
      </c>
      <c r="V47" t="s">
        <v>46</v>
      </c>
      <c r="W47" t="s">
        <v>59</v>
      </c>
      <c r="X47" t="s">
        <v>48</v>
      </c>
      <c r="Y47" t="s">
        <v>49</v>
      </c>
      <c r="Z47" t="s">
        <v>109</v>
      </c>
    </row>
    <row r="48" spans="1:26" x14ac:dyDescent="0.25">
      <c r="A48">
        <v>15339172</v>
      </c>
      <c r="B48" t="s">
        <v>202</v>
      </c>
      <c r="C48" t="s">
        <v>74</v>
      </c>
      <c r="D48" t="s">
        <v>36</v>
      </c>
      <c r="E48" t="s">
        <v>203</v>
      </c>
      <c r="F48" t="s">
        <v>38</v>
      </c>
      <c r="G48">
        <v>908526</v>
      </c>
      <c r="H48">
        <v>350000</v>
      </c>
      <c r="I48">
        <v>1364980</v>
      </c>
      <c r="J48" t="s">
        <v>39</v>
      </c>
      <c r="K48" t="s">
        <v>40</v>
      </c>
      <c r="L48" s="1">
        <v>28234</v>
      </c>
      <c r="M48">
        <v>44</v>
      </c>
      <c r="N48" t="s">
        <v>204</v>
      </c>
      <c r="O48" t="s">
        <v>56</v>
      </c>
      <c r="P48" t="s">
        <v>43</v>
      </c>
      <c r="Q48" s="1">
        <v>41093</v>
      </c>
      <c r="R48" s="1"/>
      <c r="S48" t="s">
        <v>44</v>
      </c>
      <c r="T48">
        <v>9.742465753424657</v>
      </c>
      <c r="U48" t="s">
        <v>120</v>
      </c>
      <c r="V48" t="s">
        <v>46</v>
      </c>
      <c r="W48" t="s">
        <v>59</v>
      </c>
      <c r="X48" t="s">
        <v>48</v>
      </c>
      <c r="Y48" t="s">
        <v>49</v>
      </c>
      <c r="Z48" t="s">
        <v>109</v>
      </c>
    </row>
    <row r="49" spans="1:26" x14ac:dyDescent="0.25">
      <c r="A49">
        <v>15325990</v>
      </c>
      <c r="B49" t="s">
        <v>205</v>
      </c>
      <c r="C49" t="s">
        <v>74</v>
      </c>
      <c r="D49" t="s">
        <v>36</v>
      </c>
      <c r="E49" t="s">
        <v>37</v>
      </c>
      <c r="F49" t="s">
        <v>38</v>
      </c>
      <c r="G49">
        <v>908526</v>
      </c>
      <c r="H49">
        <v>215000</v>
      </c>
      <c r="I49">
        <v>1229980</v>
      </c>
      <c r="J49" t="s">
        <v>39</v>
      </c>
      <c r="K49" t="s">
        <v>75</v>
      </c>
      <c r="L49" s="1">
        <v>25970</v>
      </c>
      <c r="M49">
        <v>51</v>
      </c>
      <c r="N49" t="s">
        <v>206</v>
      </c>
      <c r="O49" t="s">
        <v>38</v>
      </c>
      <c r="P49" t="s">
        <v>43</v>
      </c>
      <c r="Q49" s="1">
        <v>44117</v>
      </c>
      <c r="R49" s="1"/>
      <c r="S49" t="s">
        <v>44</v>
      </c>
      <c r="T49">
        <v>1.4575342465753425</v>
      </c>
      <c r="U49" t="s">
        <v>120</v>
      </c>
      <c r="V49" t="s">
        <v>46</v>
      </c>
      <c r="W49" t="s">
        <v>47</v>
      </c>
      <c r="Y49" t="s">
        <v>49</v>
      </c>
      <c r="Z49" t="s">
        <v>109</v>
      </c>
    </row>
    <row r="50" spans="1:26" x14ac:dyDescent="0.25">
      <c r="A50">
        <v>71743419</v>
      </c>
      <c r="B50" t="s">
        <v>207</v>
      </c>
      <c r="C50" t="s">
        <v>35</v>
      </c>
      <c r="D50" t="s">
        <v>36</v>
      </c>
      <c r="E50" t="s">
        <v>200</v>
      </c>
      <c r="F50" t="s">
        <v>38</v>
      </c>
      <c r="G50">
        <v>2500000</v>
      </c>
      <c r="H50">
        <v>0</v>
      </c>
      <c r="I50">
        <v>2500000</v>
      </c>
      <c r="J50" t="s">
        <v>39</v>
      </c>
      <c r="K50" t="s">
        <v>40</v>
      </c>
      <c r="L50" s="1">
        <v>27093</v>
      </c>
      <c r="M50">
        <v>48</v>
      </c>
      <c r="N50" t="s">
        <v>208</v>
      </c>
      <c r="O50" t="s">
        <v>56</v>
      </c>
      <c r="P50" t="s">
        <v>43</v>
      </c>
      <c r="Q50" s="1">
        <v>40182</v>
      </c>
      <c r="R50" s="1"/>
      <c r="S50" t="s">
        <v>44</v>
      </c>
      <c r="T50">
        <v>12.238356164383562</v>
      </c>
      <c r="U50" t="s">
        <v>128</v>
      </c>
      <c r="V50" t="s">
        <v>46</v>
      </c>
      <c r="W50" t="s">
        <v>59</v>
      </c>
      <c r="X50" t="s">
        <v>48</v>
      </c>
      <c r="Y50" t="s">
        <v>49</v>
      </c>
      <c r="Z50" t="s">
        <v>109</v>
      </c>
    </row>
    <row r="51" spans="1:26" x14ac:dyDescent="0.25">
      <c r="A51">
        <v>32352161</v>
      </c>
      <c r="B51" t="s">
        <v>209</v>
      </c>
      <c r="C51" t="s">
        <v>35</v>
      </c>
      <c r="D51" t="s">
        <v>94</v>
      </c>
      <c r="E51" t="s">
        <v>95</v>
      </c>
      <c r="F51" t="s">
        <v>79</v>
      </c>
      <c r="G51">
        <v>1000000.0079999999</v>
      </c>
      <c r="H51">
        <v>0</v>
      </c>
      <c r="I51">
        <v>1000000.0079999999</v>
      </c>
      <c r="J51" t="s">
        <v>39</v>
      </c>
      <c r="K51" t="s">
        <v>40</v>
      </c>
      <c r="L51" s="1">
        <v>29949</v>
      </c>
      <c r="M51">
        <v>40</v>
      </c>
      <c r="N51" t="s">
        <v>210</v>
      </c>
      <c r="O51" t="s">
        <v>181</v>
      </c>
      <c r="P51" t="s">
        <v>57</v>
      </c>
      <c r="Q51" s="1">
        <v>42753</v>
      </c>
      <c r="R51" s="1"/>
      <c r="S51" t="s">
        <v>44</v>
      </c>
      <c r="T51">
        <v>5.1945205479452055</v>
      </c>
      <c r="U51" t="s">
        <v>67</v>
      </c>
      <c r="V51" t="s">
        <v>46</v>
      </c>
      <c r="W51" t="s">
        <v>59</v>
      </c>
      <c r="X51" t="s">
        <v>48</v>
      </c>
      <c r="Y51" t="s">
        <v>49</v>
      </c>
      <c r="Z51" t="s">
        <v>60</v>
      </c>
    </row>
    <row r="52" spans="1:26" x14ac:dyDescent="0.25">
      <c r="A52">
        <v>88242658</v>
      </c>
      <c r="B52" t="s">
        <v>211</v>
      </c>
      <c r="C52" t="s">
        <v>74</v>
      </c>
      <c r="D52" t="s">
        <v>36</v>
      </c>
      <c r="E52" t="s">
        <v>37</v>
      </c>
      <c r="F52" t="s">
        <v>38</v>
      </c>
      <c r="G52">
        <v>908526</v>
      </c>
      <c r="H52">
        <v>215000</v>
      </c>
      <c r="I52">
        <v>1229980</v>
      </c>
      <c r="J52" t="s">
        <v>71</v>
      </c>
      <c r="K52" t="s">
        <v>75</v>
      </c>
      <c r="L52" s="1">
        <v>28849</v>
      </c>
      <c r="M52">
        <v>43</v>
      </c>
      <c r="N52" t="s">
        <v>212</v>
      </c>
      <c r="O52" t="s">
        <v>56</v>
      </c>
      <c r="P52" t="s">
        <v>43</v>
      </c>
      <c r="Q52" s="1">
        <v>44075</v>
      </c>
      <c r="R52" s="1"/>
      <c r="S52" t="s">
        <v>44</v>
      </c>
      <c r="T52">
        <v>1.5726027397260274</v>
      </c>
      <c r="U52" t="s">
        <v>128</v>
      </c>
      <c r="V52" t="s">
        <v>46</v>
      </c>
      <c r="W52" t="s">
        <v>59</v>
      </c>
      <c r="X52" t="s">
        <v>48</v>
      </c>
      <c r="Y52" t="s">
        <v>49</v>
      </c>
      <c r="Z52" t="s">
        <v>109</v>
      </c>
    </row>
    <row r="53" spans="1:26" x14ac:dyDescent="0.25">
      <c r="A53">
        <v>953466603111999</v>
      </c>
      <c r="B53" t="s">
        <v>213</v>
      </c>
      <c r="C53" t="s">
        <v>74</v>
      </c>
      <c r="D53" t="s">
        <v>36</v>
      </c>
      <c r="E53" t="s">
        <v>37</v>
      </c>
      <c r="F53" t="s">
        <v>38</v>
      </c>
      <c r="G53">
        <v>908526</v>
      </c>
      <c r="H53">
        <v>300000</v>
      </c>
      <c r="I53">
        <v>1208826</v>
      </c>
      <c r="J53" t="s">
        <v>126</v>
      </c>
      <c r="K53" t="s">
        <v>143</v>
      </c>
      <c r="L53" s="1">
        <v>36467</v>
      </c>
      <c r="M53">
        <v>22</v>
      </c>
      <c r="N53" t="s">
        <v>214</v>
      </c>
      <c r="O53" t="s">
        <v>56</v>
      </c>
      <c r="P53" t="s">
        <v>43</v>
      </c>
      <c r="Q53" s="1">
        <v>44235</v>
      </c>
      <c r="R53" s="1"/>
      <c r="S53" t="s">
        <v>44</v>
      </c>
      <c r="T53">
        <v>1.1342465753424658</v>
      </c>
      <c r="U53" t="s">
        <v>67</v>
      </c>
      <c r="V53" t="s">
        <v>46</v>
      </c>
      <c r="W53" t="s">
        <v>68</v>
      </c>
      <c r="Y53" t="s">
        <v>49</v>
      </c>
      <c r="Z53" t="s">
        <v>69</v>
      </c>
    </row>
    <row r="54" spans="1:26" x14ac:dyDescent="0.25">
      <c r="A54">
        <v>1037619198</v>
      </c>
      <c r="B54" t="s">
        <v>215</v>
      </c>
      <c r="C54" t="s">
        <v>35</v>
      </c>
      <c r="D54" t="s">
        <v>94</v>
      </c>
      <c r="E54" t="s">
        <v>216</v>
      </c>
      <c r="F54" t="s">
        <v>38</v>
      </c>
      <c r="G54">
        <v>1000000</v>
      </c>
      <c r="H54">
        <v>0</v>
      </c>
      <c r="I54">
        <v>1106454</v>
      </c>
      <c r="J54" t="s">
        <v>39</v>
      </c>
      <c r="K54" t="s">
        <v>150</v>
      </c>
      <c r="L54" s="1">
        <v>34557</v>
      </c>
      <c r="M54">
        <v>27</v>
      </c>
      <c r="N54" t="s">
        <v>217</v>
      </c>
      <c r="O54" t="s">
        <v>218</v>
      </c>
      <c r="P54" t="s">
        <v>57</v>
      </c>
      <c r="Q54" s="1">
        <v>44256</v>
      </c>
      <c r="R54" s="1"/>
      <c r="S54" t="s">
        <v>44</v>
      </c>
      <c r="T54">
        <v>1.0767123287671232</v>
      </c>
      <c r="U54" t="s">
        <v>67</v>
      </c>
      <c r="V54" t="s">
        <v>46</v>
      </c>
      <c r="W54" t="s">
        <v>68</v>
      </c>
      <c r="Y54" t="s">
        <v>49</v>
      </c>
      <c r="Z54" t="s">
        <v>69</v>
      </c>
    </row>
    <row r="55" spans="1:26" x14ac:dyDescent="0.25">
      <c r="A55">
        <v>1128452007</v>
      </c>
      <c r="B55" t="s">
        <v>219</v>
      </c>
      <c r="C55" t="s">
        <v>74</v>
      </c>
      <c r="D55" t="s">
        <v>36</v>
      </c>
      <c r="E55" t="s">
        <v>37</v>
      </c>
      <c r="F55" t="s">
        <v>62</v>
      </c>
      <c r="G55">
        <v>908526</v>
      </c>
      <c r="H55">
        <v>168800</v>
      </c>
      <c r="I55">
        <v>1183780</v>
      </c>
      <c r="J55" t="s">
        <v>71</v>
      </c>
      <c r="K55" t="s">
        <v>72</v>
      </c>
      <c r="L55" s="1">
        <v>33347</v>
      </c>
      <c r="M55">
        <v>30</v>
      </c>
      <c r="N55" t="s">
        <v>220</v>
      </c>
      <c r="O55" t="s">
        <v>65</v>
      </c>
      <c r="P55" t="s">
        <v>43</v>
      </c>
      <c r="Q55" s="1">
        <v>44263</v>
      </c>
      <c r="R55" s="1"/>
      <c r="S55" t="s">
        <v>44</v>
      </c>
      <c r="T55">
        <v>1.0575342465753426</v>
      </c>
      <c r="U55" t="s">
        <v>67</v>
      </c>
      <c r="V55" t="s">
        <v>46</v>
      </c>
      <c r="W55" t="s">
        <v>68</v>
      </c>
      <c r="Y55" t="s">
        <v>49</v>
      </c>
      <c r="Z55" t="s">
        <v>60</v>
      </c>
    </row>
    <row r="56" spans="1:26" x14ac:dyDescent="0.25">
      <c r="A56">
        <v>1037619199</v>
      </c>
      <c r="B56" t="s">
        <v>221</v>
      </c>
      <c r="C56" t="s">
        <v>74</v>
      </c>
      <c r="D56" t="s">
        <v>36</v>
      </c>
      <c r="E56" t="s">
        <v>222</v>
      </c>
      <c r="F56" t="s">
        <v>38</v>
      </c>
      <c r="G56">
        <v>1200000</v>
      </c>
      <c r="H56">
        <v>288000</v>
      </c>
      <c r="I56">
        <v>1594454</v>
      </c>
      <c r="J56" t="s">
        <v>39</v>
      </c>
      <c r="K56" t="s">
        <v>40</v>
      </c>
      <c r="L56" s="1">
        <v>22708</v>
      </c>
      <c r="M56">
        <v>60</v>
      </c>
      <c r="N56" t="s">
        <v>223</v>
      </c>
      <c r="O56" t="s">
        <v>224</v>
      </c>
      <c r="P56" t="s">
        <v>43</v>
      </c>
      <c r="Q56" s="1">
        <v>42724</v>
      </c>
      <c r="R56" s="1"/>
      <c r="S56" t="s">
        <v>44</v>
      </c>
      <c r="T56">
        <v>5.2739726027397262</v>
      </c>
      <c r="U56" t="s">
        <v>67</v>
      </c>
      <c r="V56" t="s">
        <v>46</v>
      </c>
      <c r="W56" t="s">
        <v>47</v>
      </c>
      <c r="X56" t="s">
        <v>48</v>
      </c>
      <c r="Y56" t="s">
        <v>49</v>
      </c>
      <c r="Z56" t="s">
        <v>50</v>
      </c>
    </row>
    <row r="57" spans="1:26" x14ac:dyDescent="0.25">
      <c r="A57">
        <v>71399383</v>
      </c>
      <c r="B57" t="s">
        <v>225</v>
      </c>
      <c r="C57" t="s">
        <v>74</v>
      </c>
      <c r="D57" t="s">
        <v>36</v>
      </c>
      <c r="E57" t="s">
        <v>37</v>
      </c>
      <c r="F57" t="s">
        <v>38</v>
      </c>
      <c r="G57">
        <v>908526</v>
      </c>
      <c r="H57">
        <v>400000</v>
      </c>
      <c r="I57">
        <v>1414980</v>
      </c>
      <c r="J57" t="s">
        <v>39</v>
      </c>
      <c r="K57" t="s">
        <v>63</v>
      </c>
      <c r="L57" s="1">
        <v>29760</v>
      </c>
      <c r="M57">
        <v>40</v>
      </c>
      <c r="N57" t="s">
        <v>226</v>
      </c>
      <c r="O57" t="s">
        <v>56</v>
      </c>
      <c r="P57" t="s">
        <v>57</v>
      </c>
      <c r="Q57" s="1">
        <v>43333</v>
      </c>
      <c r="R57" s="1"/>
      <c r="S57" t="s">
        <v>44</v>
      </c>
      <c r="T57">
        <v>3.6054794520547944</v>
      </c>
      <c r="U57" t="s">
        <v>120</v>
      </c>
      <c r="V57" t="s">
        <v>46</v>
      </c>
      <c r="W57" t="s">
        <v>59</v>
      </c>
      <c r="X57" t="s">
        <v>48</v>
      </c>
      <c r="Y57" t="s">
        <v>49</v>
      </c>
      <c r="Z57" t="s">
        <v>60</v>
      </c>
    </row>
    <row r="58" spans="1:26" x14ac:dyDescent="0.25">
      <c r="A58">
        <v>71272425</v>
      </c>
      <c r="B58" t="s">
        <v>227</v>
      </c>
      <c r="C58" t="s">
        <v>74</v>
      </c>
      <c r="D58" t="s">
        <v>36</v>
      </c>
      <c r="E58" t="s">
        <v>200</v>
      </c>
      <c r="F58" t="s">
        <v>38</v>
      </c>
      <c r="G58">
        <v>2000000</v>
      </c>
      <c r="H58">
        <v>0</v>
      </c>
      <c r="I58">
        <v>2106454</v>
      </c>
      <c r="J58" t="s">
        <v>126</v>
      </c>
      <c r="K58" t="s">
        <v>40</v>
      </c>
      <c r="L58" s="1">
        <v>30056</v>
      </c>
      <c r="M58">
        <v>39</v>
      </c>
      <c r="N58" t="s">
        <v>228</v>
      </c>
      <c r="O58" t="s">
        <v>186</v>
      </c>
      <c r="P58" t="s">
        <v>57</v>
      </c>
      <c r="Q58" s="1">
        <v>44047</v>
      </c>
      <c r="R58" s="1"/>
      <c r="S58" t="s">
        <v>44</v>
      </c>
      <c r="T58">
        <v>1.6493150684931508</v>
      </c>
      <c r="U58" t="s">
        <v>67</v>
      </c>
      <c r="V58" t="s">
        <v>46</v>
      </c>
      <c r="W58" t="s">
        <v>59</v>
      </c>
      <c r="Y58" t="s">
        <v>49</v>
      </c>
      <c r="Z58" t="s">
        <v>60</v>
      </c>
    </row>
    <row r="59" spans="1:26" x14ac:dyDescent="0.25">
      <c r="A59">
        <v>1037642818</v>
      </c>
      <c r="B59" t="s">
        <v>229</v>
      </c>
      <c r="C59" t="s">
        <v>74</v>
      </c>
      <c r="D59" t="s">
        <v>36</v>
      </c>
      <c r="E59" t="s">
        <v>37</v>
      </c>
      <c r="F59" t="s">
        <v>38</v>
      </c>
      <c r="G59">
        <v>908526</v>
      </c>
      <c r="H59">
        <v>255000</v>
      </c>
      <c r="I59">
        <v>1269980</v>
      </c>
      <c r="J59" t="s">
        <v>39</v>
      </c>
      <c r="K59" t="s">
        <v>40</v>
      </c>
      <c r="L59" s="1">
        <v>30569</v>
      </c>
      <c r="M59">
        <v>38</v>
      </c>
      <c r="N59" t="s">
        <v>230</v>
      </c>
      <c r="O59" t="s">
        <v>77</v>
      </c>
      <c r="P59" t="s">
        <v>57</v>
      </c>
      <c r="Q59" s="1">
        <v>42017</v>
      </c>
      <c r="R59" s="1"/>
      <c r="S59" t="s">
        <v>44</v>
      </c>
      <c r="T59">
        <v>7.2109589041095887</v>
      </c>
      <c r="U59" t="s">
        <v>128</v>
      </c>
      <c r="V59" t="s">
        <v>46</v>
      </c>
      <c r="W59" t="s">
        <v>59</v>
      </c>
      <c r="X59" t="s">
        <v>48</v>
      </c>
      <c r="Y59" t="s">
        <v>49</v>
      </c>
      <c r="Z59" t="s">
        <v>60</v>
      </c>
    </row>
    <row r="60" spans="1:26" x14ac:dyDescent="0.25">
      <c r="A60">
        <v>1015278314</v>
      </c>
      <c r="B60" t="s">
        <v>231</v>
      </c>
      <c r="C60" t="s">
        <v>74</v>
      </c>
      <c r="D60" t="s">
        <v>36</v>
      </c>
      <c r="E60" t="s">
        <v>37</v>
      </c>
      <c r="F60" t="s">
        <v>38</v>
      </c>
      <c r="G60">
        <v>908526</v>
      </c>
      <c r="H60">
        <v>0</v>
      </c>
      <c r="I60">
        <v>1014980</v>
      </c>
      <c r="J60" t="s">
        <v>39</v>
      </c>
      <c r="K60" t="s">
        <v>232</v>
      </c>
      <c r="L60" s="1">
        <v>35978</v>
      </c>
      <c r="M60">
        <v>23</v>
      </c>
      <c r="N60" t="s">
        <v>233</v>
      </c>
      <c r="O60" t="s">
        <v>56</v>
      </c>
      <c r="P60" t="s">
        <v>43</v>
      </c>
      <c r="Q60" s="1">
        <v>44431</v>
      </c>
      <c r="R60" s="1"/>
      <c r="S60" t="s">
        <v>44</v>
      </c>
      <c r="T60">
        <v>0.59726027397260273</v>
      </c>
      <c r="U60" t="s">
        <v>128</v>
      </c>
      <c r="V60" t="s">
        <v>46</v>
      </c>
      <c r="W60" t="s">
        <v>68</v>
      </c>
      <c r="Y60" t="s">
        <v>49</v>
      </c>
      <c r="Z60" t="s">
        <v>69</v>
      </c>
    </row>
    <row r="61" spans="1:26" x14ac:dyDescent="0.25">
      <c r="A61">
        <v>98477165</v>
      </c>
      <c r="B61" t="s">
        <v>234</v>
      </c>
      <c r="C61" t="s">
        <v>74</v>
      </c>
      <c r="D61" t="s">
        <v>36</v>
      </c>
      <c r="E61" t="s">
        <v>37</v>
      </c>
      <c r="F61" t="s">
        <v>38</v>
      </c>
      <c r="G61">
        <v>908526</v>
      </c>
      <c r="H61">
        <v>255100</v>
      </c>
      <c r="I61">
        <v>1270080</v>
      </c>
      <c r="J61" t="s">
        <v>161</v>
      </c>
      <c r="K61" t="s">
        <v>40</v>
      </c>
      <c r="L61" s="1">
        <v>23162</v>
      </c>
      <c r="M61">
        <v>58</v>
      </c>
      <c r="N61" t="s">
        <v>235</v>
      </c>
      <c r="O61" t="s">
        <v>77</v>
      </c>
      <c r="P61" t="s">
        <v>57</v>
      </c>
      <c r="Q61" s="1">
        <v>44105</v>
      </c>
      <c r="R61" s="1"/>
      <c r="S61" t="s">
        <v>44</v>
      </c>
      <c r="T61">
        <v>1.4904109589041097</v>
      </c>
      <c r="U61" t="s">
        <v>120</v>
      </c>
      <c r="V61" t="s">
        <v>46</v>
      </c>
      <c r="W61" t="s">
        <v>47</v>
      </c>
      <c r="Y61" t="s">
        <v>49</v>
      </c>
      <c r="Z61" t="s">
        <v>50</v>
      </c>
    </row>
    <row r="62" spans="1:26" x14ac:dyDescent="0.25">
      <c r="A62">
        <v>1128391957</v>
      </c>
      <c r="B62" t="s">
        <v>236</v>
      </c>
      <c r="C62" t="s">
        <v>35</v>
      </c>
      <c r="D62" t="s">
        <v>94</v>
      </c>
      <c r="E62" t="s">
        <v>95</v>
      </c>
      <c r="F62" t="s">
        <v>79</v>
      </c>
      <c r="G62">
        <v>908526</v>
      </c>
      <c r="H62">
        <v>0</v>
      </c>
      <c r="I62">
        <v>1000000</v>
      </c>
      <c r="J62" t="s">
        <v>39</v>
      </c>
      <c r="K62" t="s">
        <v>40</v>
      </c>
      <c r="L62" s="1">
        <v>22103</v>
      </c>
      <c r="M62">
        <v>61</v>
      </c>
      <c r="N62" t="s">
        <v>237</v>
      </c>
      <c r="O62" t="s">
        <v>38</v>
      </c>
      <c r="P62" t="s">
        <v>43</v>
      </c>
      <c r="Q62" s="1">
        <v>40864</v>
      </c>
      <c r="R62" s="1"/>
      <c r="S62" t="s">
        <v>44</v>
      </c>
      <c r="T62">
        <v>10.36986301369863</v>
      </c>
      <c r="U62" t="s">
        <v>67</v>
      </c>
      <c r="V62" t="s">
        <v>46</v>
      </c>
      <c r="W62" t="s">
        <v>47</v>
      </c>
      <c r="Y62" t="s">
        <v>49</v>
      </c>
      <c r="Z62" t="s">
        <v>50</v>
      </c>
    </row>
    <row r="63" spans="1:26" x14ac:dyDescent="0.25">
      <c r="A63">
        <v>8464209</v>
      </c>
      <c r="B63" t="s">
        <v>238</v>
      </c>
      <c r="C63" t="s">
        <v>74</v>
      </c>
      <c r="D63" t="s">
        <v>52</v>
      </c>
      <c r="E63" t="s">
        <v>239</v>
      </c>
      <c r="F63" t="s">
        <v>38</v>
      </c>
      <c r="G63">
        <v>681394</v>
      </c>
      <c r="H63">
        <v>0</v>
      </c>
      <c r="I63">
        <v>1000000</v>
      </c>
      <c r="J63" t="s">
        <v>106</v>
      </c>
      <c r="K63" t="s">
        <v>240</v>
      </c>
      <c r="L63" s="1">
        <v>28044</v>
      </c>
      <c r="M63">
        <v>45</v>
      </c>
      <c r="N63" t="s">
        <v>241</v>
      </c>
      <c r="O63" t="s">
        <v>242</v>
      </c>
      <c r="P63" t="s">
        <v>43</v>
      </c>
      <c r="Q63" s="1">
        <v>44243</v>
      </c>
      <c r="R63" s="1"/>
      <c r="S63" t="s">
        <v>111</v>
      </c>
      <c r="T63">
        <v>1.1123287671232878</v>
      </c>
      <c r="U63" t="s">
        <v>58</v>
      </c>
      <c r="V63" t="s">
        <v>46</v>
      </c>
      <c r="W63" t="s">
        <v>59</v>
      </c>
      <c r="Y63" t="s">
        <v>49</v>
      </c>
      <c r="Z63" t="s">
        <v>109</v>
      </c>
    </row>
    <row r="64" spans="1:26" x14ac:dyDescent="0.25">
      <c r="A64">
        <v>71391505</v>
      </c>
      <c r="B64" t="s">
        <v>243</v>
      </c>
      <c r="C64" t="s">
        <v>74</v>
      </c>
      <c r="D64" t="s">
        <v>36</v>
      </c>
      <c r="E64" t="s">
        <v>37</v>
      </c>
      <c r="F64" t="s">
        <v>38</v>
      </c>
      <c r="G64">
        <v>908526</v>
      </c>
      <c r="H64">
        <v>255000</v>
      </c>
      <c r="I64">
        <v>1269980</v>
      </c>
      <c r="J64" t="s">
        <v>39</v>
      </c>
      <c r="K64" t="s">
        <v>40</v>
      </c>
      <c r="L64" s="1">
        <v>24729</v>
      </c>
      <c r="M64">
        <v>54</v>
      </c>
      <c r="N64" t="s">
        <v>91</v>
      </c>
      <c r="O64" t="s">
        <v>244</v>
      </c>
      <c r="P64" t="s">
        <v>57</v>
      </c>
      <c r="Q64" s="1">
        <v>40945</v>
      </c>
      <c r="R64" s="1"/>
      <c r="S64" t="s">
        <v>44</v>
      </c>
      <c r="T64">
        <v>10.147945205479452</v>
      </c>
      <c r="U64" t="s">
        <v>120</v>
      </c>
      <c r="V64" t="s">
        <v>46</v>
      </c>
      <c r="W64" t="s">
        <v>47</v>
      </c>
      <c r="X64" t="s">
        <v>48</v>
      </c>
      <c r="Y64" t="s">
        <v>49</v>
      </c>
      <c r="Z64" t="s">
        <v>50</v>
      </c>
    </row>
    <row r="65" spans="1:26" x14ac:dyDescent="0.25">
      <c r="A65">
        <v>15255772</v>
      </c>
      <c r="B65" t="s">
        <v>245</v>
      </c>
      <c r="C65" t="s">
        <v>74</v>
      </c>
      <c r="D65" t="s">
        <v>36</v>
      </c>
      <c r="E65" t="s">
        <v>37</v>
      </c>
      <c r="F65" t="s">
        <v>62</v>
      </c>
      <c r="G65">
        <v>908526</v>
      </c>
      <c r="H65">
        <v>168800</v>
      </c>
      <c r="I65">
        <v>1183780</v>
      </c>
      <c r="J65" t="s">
        <v>158</v>
      </c>
      <c r="K65" t="s">
        <v>75</v>
      </c>
      <c r="L65" s="1">
        <v>26342</v>
      </c>
      <c r="M65">
        <v>50</v>
      </c>
      <c r="N65" t="s">
        <v>246</v>
      </c>
      <c r="O65" t="s">
        <v>65</v>
      </c>
      <c r="P65" t="s">
        <v>43</v>
      </c>
      <c r="Q65" s="1">
        <v>44099</v>
      </c>
      <c r="R65" s="1"/>
      <c r="S65" t="s">
        <v>44</v>
      </c>
      <c r="T65">
        <v>1.5068493150684932</v>
      </c>
      <c r="U65" t="s">
        <v>120</v>
      </c>
      <c r="V65" t="s">
        <v>46</v>
      </c>
      <c r="W65" t="s">
        <v>59</v>
      </c>
      <c r="Y65" t="s">
        <v>49</v>
      </c>
      <c r="Z65" t="s">
        <v>109</v>
      </c>
    </row>
    <row r="66" spans="1:26" x14ac:dyDescent="0.25">
      <c r="A66">
        <v>1042775245</v>
      </c>
      <c r="B66" t="s">
        <v>247</v>
      </c>
      <c r="C66" t="s">
        <v>35</v>
      </c>
      <c r="D66" t="s">
        <v>36</v>
      </c>
      <c r="E66" t="s">
        <v>37</v>
      </c>
      <c r="F66" t="s">
        <v>62</v>
      </c>
      <c r="G66">
        <v>908526</v>
      </c>
      <c r="H66">
        <v>268000</v>
      </c>
      <c r="I66">
        <v>1282980</v>
      </c>
      <c r="J66" t="s">
        <v>39</v>
      </c>
      <c r="K66" t="s">
        <v>40</v>
      </c>
      <c r="L66" s="1">
        <v>29417</v>
      </c>
      <c r="M66">
        <v>41</v>
      </c>
      <c r="N66" t="s">
        <v>64</v>
      </c>
      <c r="O66" t="s">
        <v>65</v>
      </c>
      <c r="P66" t="s">
        <v>57</v>
      </c>
      <c r="Q66" s="1">
        <v>44025</v>
      </c>
      <c r="R66" s="1"/>
      <c r="S66" t="s">
        <v>44</v>
      </c>
      <c r="T66">
        <v>1.7095890410958905</v>
      </c>
      <c r="U66" t="s">
        <v>67</v>
      </c>
      <c r="V66" t="s">
        <v>46</v>
      </c>
      <c r="W66" t="s">
        <v>59</v>
      </c>
      <c r="Y66" t="s">
        <v>49</v>
      </c>
      <c r="Z66" t="s">
        <v>109</v>
      </c>
    </row>
    <row r="67" spans="1:26" x14ac:dyDescent="0.25">
      <c r="A67">
        <v>32151156</v>
      </c>
      <c r="B67" t="s">
        <v>248</v>
      </c>
      <c r="C67" t="s">
        <v>35</v>
      </c>
      <c r="D67" t="s">
        <v>52</v>
      </c>
      <c r="E67" t="s">
        <v>216</v>
      </c>
      <c r="F67" t="s">
        <v>38</v>
      </c>
      <c r="G67">
        <v>1500000</v>
      </c>
      <c r="H67">
        <v>0</v>
      </c>
      <c r="I67">
        <v>1606454</v>
      </c>
      <c r="J67" t="s">
        <v>39</v>
      </c>
      <c r="K67" t="s">
        <v>63</v>
      </c>
      <c r="L67" s="1">
        <v>31289</v>
      </c>
      <c r="M67">
        <v>36</v>
      </c>
      <c r="N67" t="s">
        <v>249</v>
      </c>
      <c r="O67" t="s">
        <v>92</v>
      </c>
      <c r="P67" t="s">
        <v>43</v>
      </c>
      <c r="Q67" s="1">
        <v>42996</v>
      </c>
      <c r="R67" s="1"/>
      <c r="S67" t="s">
        <v>44</v>
      </c>
      <c r="T67">
        <v>4.5287671232876709</v>
      </c>
      <c r="U67" t="s">
        <v>67</v>
      </c>
      <c r="V67" t="s">
        <v>46</v>
      </c>
      <c r="W67" t="s">
        <v>59</v>
      </c>
      <c r="Y67" t="s">
        <v>49</v>
      </c>
      <c r="Z67" t="s">
        <v>60</v>
      </c>
    </row>
    <row r="68" spans="1:26" x14ac:dyDescent="0.25">
      <c r="A68">
        <v>71525557</v>
      </c>
      <c r="B68" t="s">
        <v>250</v>
      </c>
      <c r="C68" t="s">
        <v>74</v>
      </c>
      <c r="D68" t="s">
        <v>36</v>
      </c>
      <c r="E68" t="s">
        <v>115</v>
      </c>
      <c r="F68" t="s">
        <v>38</v>
      </c>
      <c r="G68">
        <v>908526</v>
      </c>
      <c r="H68">
        <v>400000</v>
      </c>
      <c r="I68">
        <v>1414980</v>
      </c>
      <c r="J68" t="s">
        <v>39</v>
      </c>
      <c r="K68" t="s">
        <v>40</v>
      </c>
      <c r="L68" s="1">
        <v>23393</v>
      </c>
      <c r="M68">
        <v>58</v>
      </c>
      <c r="N68" t="s">
        <v>251</v>
      </c>
      <c r="O68" t="s">
        <v>38</v>
      </c>
      <c r="P68" t="s">
        <v>43</v>
      </c>
      <c r="Q68" s="1">
        <v>40190</v>
      </c>
      <c r="R68" s="1"/>
      <c r="S68" t="s">
        <v>44</v>
      </c>
      <c r="T68">
        <v>12.216438356164383</v>
      </c>
      <c r="U68" t="s">
        <v>45</v>
      </c>
      <c r="V68" t="s">
        <v>46</v>
      </c>
      <c r="W68" t="s">
        <v>47</v>
      </c>
      <c r="X68" t="s">
        <v>48</v>
      </c>
      <c r="Y68" t="s">
        <v>49</v>
      </c>
      <c r="Z68" t="s">
        <v>50</v>
      </c>
    </row>
    <row r="69" spans="1:26" x14ac:dyDescent="0.25">
      <c r="A69">
        <v>71141531</v>
      </c>
      <c r="B69" t="s">
        <v>252</v>
      </c>
      <c r="C69" t="s">
        <v>74</v>
      </c>
      <c r="D69" t="s">
        <v>36</v>
      </c>
      <c r="E69" t="s">
        <v>37</v>
      </c>
      <c r="F69" t="s">
        <v>79</v>
      </c>
      <c r="G69">
        <v>908526</v>
      </c>
      <c r="H69">
        <v>413200</v>
      </c>
      <c r="I69">
        <v>1428180</v>
      </c>
      <c r="J69" t="s">
        <v>39</v>
      </c>
      <c r="K69" t="s">
        <v>63</v>
      </c>
      <c r="L69" s="1">
        <v>26282</v>
      </c>
      <c r="M69">
        <v>50</v>
      </c>
      <c r="N69" t="s">
        <v>253</v>
      </c>
      <c r="O69" t="s">
        <v>56</v>
      </c>
      <c r="P69" t="s">
        <v>57</v>
      </c>
      <c r="Q69" s="1">
        <v>43800</v>
      </c>
      <c r="R69" s="1"/>
      <c r="S69" t="s">
        <v>44</v>
      </c>
      <c r="T69">
        <v>2.3260273972602739</v>
      </c>
      <c r="U69" t="s">
        <v>120</v>
      </c>
      <c r="V69" t="s">
        <v>46</v>
      </c>
      <c r="W69" t="s">
        <v>59</v>
      </c>
      <c r="Y69" t="s">
        <v>49</v>
      </c>
      <c r="Z69" t="s">
        <v>109</v>
      </c>
    </row>
    <row r="70" spans="1:26" x14ac:dyDescent="0.25">
      <c r="A70">
        <v>98628434</v>
      </c>
      <c r="B70" t="s">
        <v>254</v>
      </c>
      <c r="C70" t="s">
        <v>74</v>
      </c>
      <c r="D70" t="s">
        <v>36</v>
      </c>
      <c r="E70" t="s">
        <v>200</v>
      </c>
      <c r="F70" t="s">
        <v>38</v>
      </c>
      <c r="G70">
        <v>3200000</v>
      </c>
      <c r="H70">
        <v>0</v>
      </c>
      <c r="I70">
        <v>3200000</v>
      </c>
      <c r="J70" t="s">
        <v>39</v>
      </c>
      <c r="K70" t="s">
        <v>40</v>
      </c>
      <c r="L70" s="1">
        <v>28158</v>
      </c>
      <c r="M70">
        <v>45</v>
      </c>
      <c r="N70" t="s">
        <v>255</v>
      </c>
      <c r="O70" t="s">
        <v>56</v>
      </c>
      <c r="P70" t="s">
        <v>57</v>
      </c>
      <c r="Q70" s="1">
        <v>40168</v>
      </c>
      <c r="R70" s="1"/>
      <c r="S70" t="s">
        <v>44</v>
      </c>
      <c r="T70">
        <v>12.276712328767124</v>
      </c>
      <c r="U70" t="s">
        <v>67</v>
      </c>
      <c r="V70" t="s">
        <v>46</v>
      </c>
      <c r="W70" t="s">
        <v>59</v>
      </c>
      <c r="Y70" t="s">
        <v>256</v>
      </c>
      <c r="Z70" t="s">
        <v>109</v>
      </c>
    </row>
    <row r="71" spans="1:26" x14ac:dyDescent="0.25">
      <c r="A71">
        <v>1042768717</v>
      </c>
      <c r="B71" t="s">
        <v>257</v>
      </c>
      <c r="C71" t="s">
        <v>74</v>
      </c>
      <c r="D71" t="s">
        <v>36</v>
      </c>
      <c r="E71" t="s">
        <v>37</v>
      </c>
      <c r="F71" t="s">
        <v>62</v>
      </c>
      <c r="G71">
        <v>908526</v>
      </c>
      <c r="H71">
        <v>168800</v>
      </c>
      <c r="I71">
        <v>1183780</v>
      </c>
      <c r="J71" t="s">
        <v>86</v>
      </c>
      <c r="K71" t="s">
        <v>40</v>
      </c>
      <c r="L71" s="1">
        <v>33150</v>
      </c>
      <c r="M71">
        <v>31</v>
      </c>
      <c r="N71" t="s">
        <v>64</v>
      </c>
      <c r="O71" t="s">
        <v>65</v>
      </c>
      <c r="P71" t="s">
        <v>57</v>
      </c>
      <c r="Q71" s="1">
        <v>44105</v>
      </c>
      <c r="R71" s="1"/>
      <c r="S71" t="s">
        <v>44</v>
      </c>
      <c r="T71">
        <v>1.4904109589041097</v>
      </c>
      <c r="U71" t="s">
        <v>120</v>
      </c>
      <c r="V71" t="s">
        <v>46</v>
      </c>
      <c r="W71" t="s">
        <v>59</v>
      </c>
      <c r="Y71" t="s">
        <v>49</v>
      </c>
      <c r="Z71" t="s">
        <v>60</v>
      </c>
    </row>
    <row r="72" spans="1:26" x14ac:dyDescent="0.25">
      <c r="A72">
        <v>1042766346</v>
      </c>
      <c r="B72" t="s">
        <v>258</v>
      </c>
      <c r="C72" t="s">
        <v>74</v>
      </c>
      <c r="D72" t="s">
        <v>94</v>
      </c>
      <c r="E72" t="s">
        <v>95</v>
      </c>
      <c r="F72" t="s">
        <v>79</v>
      </c>
      <c r="G72">
        <v>3250000.0079999999</v>
      </c>
      <c r="H72">
        <v>0</v>
      </c>
      <c r="I72">
        <v>3250000.0079999999</v>
      </c>
      <c r="J72" t="s">
        <v>39</v>
      </c>
      <c r="K72" t="s">
        <v>63</v>
      </c>
      <c r="L72" s="1">
        <v>28886</v>
      </c>
      <c r="M72">
        <v>43</v>
      </c>
      <c r="N72" t="s">
        <v>259</v>
      </c>
      <c r="O72" t="s">
        <v>260</v>
      </c>
      <c r="P72" t="s">
        <v>57</v>
      </c>
      <c r="Q72" s="1">
        <v>43119</v>
      </c>
      <c r="R72" s="1"/>
      <c r="S72" t="s">
        <v>44</v>
      </c>
      <c r="T72">
        <v>4.1917808219178081</v>
      </c>
      <c r="U72" t="s">
        <v>67</v>
      </c>
      <c r="V72" t="s">
        <v>46</v>
      </c>
      <c r="W72" t="s">
        <v>59</v>
      </c>
      <c r="Y72" t="s">
        <v>256</v>
      </c>
      <c r="Z72" t="s">
        <v>109</v>
      </c>
    </row>
    <row r="73" spans="1:26" x14ac:dyDescent="0.25">
      <c r="A73">
        <v>15257360</v>
      </c>
      <c r="B73" t="s">
        <v>261</v>
      </c>
      <c r="C73" t="s">
        <v>74</v>
      </c>
      <c r="D73" t="s">
        <v>36</v>
      </c>
      <c r="E73" t="s">
        <v>37</v>
      </c>
      <c r="F73" t="s">
        <v>38</v>
      </c>
      <c r="G73">
        <v>908526</v>
      </c>
      <c r="H73">
        <v>255000</v>
      </c>
      <c r="I73">
        <v>1269980</v>
      </c>
      <c r="J73" t="s">
        <v>39</v>
      </c>
      <c r="K73" t="s">
        <v>40</v>
      </c>
      <c r="L73" s="1">
        <v>22447</v>
      </c>
      <c r="M73">
        <v>60</v>
      </c>
      <c r="N73" t="s">
        <v>262</v>
      </c>
      <c r="O73" t="s">
        <v>56</v>
      </c>
      <c r="P73" t="s">
        <v>57</v>
      </c>
      <c r="Q73" s="1">
        <v>40029</v>
      </c>
      <c r="R73" s="1"/>
      <c r="S73" t="s">
        <v>44</v>
      </c>
      <c r="T73">
        <v>12.657534246575343</v>
      </c>
      <c r="U73" t="s">
        <v>120</v>
      </c>
      <c r="V73" t="s">
        <v>46</v>
      </c>
      <c r="W73" t="s">
        <v>47</v>
      </c>
      <c r="Y73" t="s">
        <v>49</v>
      </c>
      <c r="Z73" t="s">
        <v>50</v>
      </c>
    </row>
    <row r="74" spans="1:26" x14ac:dyDescent="0.25">
      <c r="A74">
        <v>71141812</v>
      </c>
      <c r="B74" t="s">
        <v>263</v>
      </c>
      <c r="C74" t="s">
        <v>74</v>
      </c>
      <c r="D74" t="s">
        <v>36</v>
      </c>
      <c r="E74" t="s">
        <v>37</v>
      </c>
      <c r="F74" t="s">
        <v>38</v>
      </c>
      <c r="G74">
        <v>908526</v>
      </c>
      <c r="H74">
        <v>282000</v>
      </c>
      <c r="I74">
        <v>1296980</v>
      </c>
      <c r="J74" t="s">
        <v>39</v>
      </c>
      <c r="K74" t="s">
        <v>40</v>
      </c>
      <c r="L74" s="1">
        <v>27488</v>
      </c>
      <c r="M74">
        <v>46</v>
      </c>
      <c r="N74" t="s">
        <v>264</v>
      </c>
      <c r="O74" t="s">
        <v>131</v>
      </c>
      <c r="P74" t="s">
        <v>57</v>
      </c>
      <c r="Q74" s="1">
        <v>42753</v>
      </c>
      <c r="R74" s="1"/>
      <c r="S74" t="s">
        <v>44</v>
      </c>
      <c r="T74">
        <v>5.1945205479452055</v>
      </c>
      <c r="U74" t="s">
        <v>120</v>
      </c>
      <c r="V74" t="s">
        <v>46</v>
      </c>
      <c r="W74" t="s">
        <v>59</v>
      </c>
      <c r="X74" t="s">
        <v>48</v>
      </c>
      <c r="Y74" t="s">
        <v>49</v>
      </c>
      <c r="Z74" t="s">
        <v>109</v>
      </c>
    </row>
    <row r="75" spans="1:26" x14ac:dyDescent="0.25">
      <c r="A75">
        <v>1026138161</v>
      </c>
      <c r="B75" t="s">
        <v>265</v>
      </c>
      <c r="C75" t="s">
        <v>74</v>
      </c>
      <c r="D75" t="s">
        <v>36</v>
      </c>
      <c r="E75" t="s">
        <v>115</v>
      </c>
      <c r="F75" t="s">
        <v>38</v>
      </c>
      <c r="G75">
        <v>908526</v>
      </c>
      <c r="H75">
        <v>215000</v>
      </c>
      <c r="I75">
        <v>1229980</v>
      </c>
      <c r="J75" t="s">
        <v>71</v>
      </c>
      <c r="K75" t="s">
        <v>72</v>
      </c>
      <c r="L75" s="1">
        <v>28734</v>
      </c>
      <c r="M75">
        <v>43</v>
      </c>
      <c r="N75" t="s">
        <v>130</v>
      </c>
      <c r="O75" t="s">
        <v>193</v>
      </c>
      <c r="P75" t="s">
        <v>43</v>
      </c>
      <c r="Q75" s="1">
        <v>44263</v>
      </c>
      <c r="R75" s="1"/>
      <c r="S75" t="s">
        <v>44</v>
      </c>
      <c r="T75">
        <v>-121.26849315068493</v>
      </c>
      <c r="U75" t="s">
        <v>67</v>
      </c>
      <c r="V75" t="s">
        <v>82</v>
      </c>
      <c r="W75" t="s">
        <v>59</v>
      </c>
      <c r="Y75" t="s">
        <v>49</v>
      </c>
      <c r="Z75" t="s">
        <v>109</v>
      </c>
    </row>
    <row r="76" spans="1:26" x14ac:dyDescent="0.25">
      <c r="A76">
        <v>15338598</v>
      </c>
      <c r="B76" t="s">
        <v>266</v>
      </c>
      <c r="C76" t="s">
        <v>35</v>
      </c>
      <c r="D76" t="s">
        <v>36</v>
      </c>
      <c r="E76" t="s">
        <v>37</v>
      </c>
      <c r="F76" t="s">
        <v>38</v>
      </c>
      <c r="G76">
        <v>908526</v>
      </c>
      <c r="H76">
        <v>255000</v>
      </c>
      <c r="I76">
        <v>1269980</v>
      </c>
      <c r="J76" t="s">
        <v>39</v>
      </c>
      <c r="K76" t="s">
        <v>40</v>
      </c>
      <c r="L76" s="1">
        <v>26764</v>
      </c>
      <c r="M76">
        <v>48</v>
      </c>
      <c r="N76" t="s">
        <v>267</v>
      </c>
      <c r="O76" t="s">
        <v>131</v>
      </c>
      <c r="P76" t="s">
        <v>57</v>
      </c>
      <c r="Q76" s="1">
        <v>43108</v>
      </c>
      <c r="R76" s="1"/>
      <c r="S76" t="s">
        <v>44</v>
      </c>
      <c r="T76">
        <v>4.2219178082191782</v>
      </c>
      <c r="U76" t="s">
        <v>45</v>
      </c>
      <c r="V76" t="s">
        <v>46</v>
      </c>
      <c r="W76" t="s">
        <v>59</v>
      </c>
      <c r="X76" t="s">
        <v>48</v>
      </c>
      <c r="Y76" t="s">
        <v>49</v>
      </c>
      <c r="Z76" t="s">
        <v>109</v>
      </c>
    </row>
    <row r="77" spans="1:26" x14ac:dyDescent="0.25">
      <c r="A77">
        <v>1035222712</v>
      </c>
      <c r="B77" t="s">
        <v>268</v>
      </c>
      <c r="C77" t="s">
        <v>35</v>
      </c>
      <c r="D77" t="s">
        <v>52</v>
      </c>
      <c r="E77" t="s">
        <v>239</v>
      </c>
      <c r="F77" t="s">
        <v>62</v>
      </c>
      <c r="G77">
        <v>1600000</v>
      </c>
      <c r="H77">
        <v>0</v>
      </c>
      <c r="I77">
        <v>1600000</v>
      </c>
      <c r="J77" t="s">
        <v>39</v>
      </c>
      <c r="K77" t="s">
        <v>63</v>
      </c>
      <c r="L77" s="1">
        <v>36047</v>
      </c>
      <c r="M77">
        <v>23</v>
      </c>
      <c r="N77" t="s">
        <v>269</v>
      </c>
      <c r="O77" t="s">
        <v>65</v>
      </c>
      <c r="P77" t="s">
        <v>57</v>
      </c>
      <c r="Q77" s="1">
        <v>44235</v>
      </c>
      <c r="R77" s="1"/>
      <c r="S77" t="s">
        <v>44</v>
      </c>
      <c r="T77">
        <v>1.1342465753424658</v>
      </c>
      <c r="U77" t="s">
        <v>89</v>
      </c>
      <c r="V77" t="s">
        <v>46</v>
      </c>
      <c r="W77" t="s">
        <v>68</v>
      </c>
      <c r="Y77" t="s">
        <v>49</v>
      </c>
      <c r="Z77" t="s">
        <v>69</v>
      </c>
    </row>
    <row r="78" spans="1:26" x14ac:dyDescent="0.25">
      <c r="A78">
        <v>1055917920</v>
      </c>
      <c r="B78" t="s">
        <v>270</v>
      </c>
      <c r="C78" t="s">
        <v>74</v>
      </c>
      <c r="D78" t="s">
        <v>36</v>
      </c>
      <c r="E78" t="s">
        <v>37</v>
      </c>
      <c r="F78" t="s">
        <v>38</v>
      </c>
      <c r="G78">
        <v>908526</v>
      </c>
      <c r="H78">
        <v>215000</v>
      </c>
      <c r="I78">
        <v>1229980</v>
      </c>
      <c r="J78" t="s">
        <v>71</v>
      </c>
      <c r="K78" t="s">
        <v>75</v>
      </c>
      <c r="L78" s="1">
        <v>33669</v>
      </c>
      <c r="M78">
        <v>30</v>
      </c>
      <c r="N78" t="s">
        <v>84</v>
      </c>
      <c r="O78" t="s">
        <v>56</v>
      </c>
      <c r="P78" t="s">
        <v>43</v>
      </c>
      <c r="Q78" s="1">
        <v>44013</v>
      </c>
      <c r="R78" s="1"/>
      <c r="S78" t="s">
        <v>44</v>
      </c>
      <c r="T78">
        <v>1.7424657534246575</v>
      </c>
      <c r="U78" t="s">
        <v>128</v>
      </c>
      <c r="V78" t="s">
        <v>46</v>
      </c>
      <c r="W78" t="s">
        <v>68</v>
      </c>
      <c r="Y78" t="s">
        <v>49</v>
      </c>
      <c r="Z78" t="s">
        <v>60</v>
      </c>
    </row>
    <row r="79" spans="1:26" x14ac:dyDescent="0.25">
      <c r="A79">
        <v>15325899</v>
      </c>
      <c r="B79" t="s">
        <v>271</v>
      </c>
      <c r="C79" t="s">
        <v>74</v>
      </c>
      <c r="D79" t="s">
        <v>36</v>
      </c>
      <c r="E79" t="s">
        <v>272</v>
      </c>
      <c r="F79" t="s">
        <v>62</v>
      </c>
      <c r="G79">
        <v>908526</v>
      </c>
      <c r="H79">
        <v>360000</v>
      </c>
      <c r="I79">
        <v>1374980</v>
      </c>
      <c r="J79" t="s">
        <v>273</v>
      </c>
      <c r="K79" t="s">
        <v>63</v>
      </c>
      <c r="L79" s="1">
        <v>25927</v>
      </c>
      <c r="M79">
        <v>51</v>
      </c>
      <c r="N79" t="s">
        <v>274</v>
      </c>
      <c r="O79" t="s">
        <v>65</v>
      </c>
      <c r="P79" t="s">
        <v>57</v>
      </c>
      <c r="Q79" s="1">
        <v>43872</v>
      </c>
      <c r="R79" s="1"/>
      <c r="S79" t="s">
        <v>44</v>
      </c>
      <c r="T79">
        <v>2.128767123287671</v>
      </c>
      <c r="U79" t="s">
        <v>120</v>
      </c>
      <c r="V79" t="s">
        <v>46</v>
      </c>
      <c r="W79" t="s">
        <v>47</v>
      </c>
      <c r="Y79" t="s">
        <v>49</v>
      </c>
      <c r="Z79" t="s">
        <v>109</v>
      </c>
    </row>
    <row r="80" spans="1:26" x14ac:dyDescent="0.25">
      <c r="A80">
        <v>1090376342</v>
      </c>
      <c r="B80" t="s">
        <v>275</v>
      </c>
      <c r="C80" t="s">
        <v>74</v>
      </c>
      <c r="D80" t="s">
        <v>36</v>
      </c>
      <c r="E80" t="s">
        <v>99</v>
      </c>
      <c r="F80" t="s">
        <v>62</v>
      </c>
      <c r="G80">
        <v>908526</v>
      </c>
      <c r="H80">
        <v>580000</v>
      </c>
      <c r="I80">
        <v>1594980</v>
      </c>
      <c r="J80" t="s">
        <v>39</v>
      </c>
      <c r="K80" t="s">
        <v>40</v>
      </c>
      <c r="L80" s="1">
        <v>27451</v>
      </c>
      <c r="M80">
        <v>47</v>
      </c>
      <c r="N80" t="s">
        <v>276</v>
      </c>
      <c r="O80" t="s">
        <v>56</v>
      </c>
      <c r="P80" t="s">
        <v>57</v>
      </c>
      <c r="Q80" s="1">
        <v>41494</v>
      </c>
      <c r="R80" s="1"/>
      <c r="S80" t="s">
        <v>44</v>
      </c>
      <c r="T80">
        <v>8.6438356164383556</v>
      </c>
      <c r="U80" t="s">
        <v>45</v>
      </c>
      <c r="V80" t="s">
        <v>46</v>
      </c>
      <c r="W80" t="s">
        <v>59</v>
      </c>
      <c r="X80" t="s">
        <v>48</v>
      </c>
      <c r="Y80" t="s">
        <v>49</v>
      </c>
      <c r="Z80" t="s">
        <v>109</v>
      </c>
    </row>
    <row r="81" spans="1:26" x14ac:dyDescent="0.25">
      <c r="A81">
        <v>1035860933</v>
      </c>
      <c r="B81" t="s">
        <v>277</v>
      </c>
      <c r="C81" t="s">
        <v>74</v>
      </c>
      <c r="D81" t="s">
        <v>36</v>
      </c>
      <c r="E81" t="s">
        <v>278</v>
      </c>
      <c r="F81" t="s">
        <v>38</v>
      </c>
      <c r="G81">
        <v>908526</v>
      </c>
      <c r="H81">
        <v>215000</v>
      </c>
      <c r="I81">
        <v>1229980</v>
      </c>
      <c r="J81" t="s">
        <v>39</v>
      </c>
      <c r="K81" t="s">
        <v>279</v>
      </c>
      <c r="L81" s="1">
        <v>36083</v>
      </c>
      <c r="M81">
        <v>23</v>
      </c>
      <c r="N81" t="s">
        <v>280</v>
      </c>
      <c r="O81" t="s">
        <v>56</v>
      </c>
      <c r="P81" t="s">
        <v>57</v>
      </c>
      <c r="Q81" s="1">
        <v>44243</v>
      </c>
      <c r="R81" s="1">
        <v>44469</v>
      </c>
      <c r="S81" t="s">
        <v>44</v>
      </c>
      <c r="T81">
        <v>0.61917808219178083</v>
      </c>
      <c r="U81" t="s">
        <v>67</v>
      </c>
      <c r="V81" t="s">
        <v>82</v>
      </c>
      <c r="W81" t="s">
        <v>68</v>
      </c>
      <c r="Y81" t="s">
        <v>49</v>
      </c>
      <c r="Z81" t="s">
        <v>69</v>
      </c>
    </row>
    <row r="82" spans="1:26" x14ac:dyDescent="0.25">
      <c r="A82">
        <v>1042063866</v>
      </c>
      <c r="B82" t="s">
        <v>281</v>
      </c>
      <c r="C82" t="s">
        <v>74</v>
      </c>
      <c r="D82" t="s">
        <v>36</v>
      </c>
      <c r="E82" t="s">
        <v>37</v>
      </c>
      <c r="F82" t="s">
        <v>38</v>
      </c>
      <c r="G82">
        <v>908526</v>
      </c>
      <c r="H82">
        <v>255000</v>
      </c>
      <c r="I82">
        <v>1269980</v>
      </c>
      <c r="J82" t="s">
        <v>158</v>
      </c>
      <c r="K82" t="s">
        <v>75</v>
      </c>
      <c r="L82" s="1">
        <v>33879</v>
      </c>
      <c r="M82">
        <v>29</v>
      </c>
      <c r="N82" t="s">
        <v>282</v>
      </c>
      <c r="O82" t="s">
        <v>131</v>
      </c>
      <c r="P82" t="s">
        <v>57</v>
      </c>
      <c r="Q82" s="1">
        <v>43155</v>
      </c>
      <c r="R82" s="1"/>
      <c r="S82" t="s">
        <v>44</v>
      </c>
      <c r="T82">
        <v>4.0931506849315067</v>
      </c>
      <c r="U82" t="s">
        <v>67</v>
      </c>
      <c r="V82" t="s">
        <v>46</v>
      </c>
      <c r="W82" t="s">
        <v>68</v>
      </c>
      <c r="X82" t="s">
        <v>48</v>
      </c>
      <c r="Y82" t="s">
        <v>49</v>
      </c>
      <c r="Z82" t="s">
        <v>60</v>
      </c>
    </row>
    <row r="83" spans="1:26" x14ac:dyDescent="0.25">
      <c r="A83">
        <v>1039049565</v>
      </c>
      <c r="B83" t="s">
        <v>283</v>
      </c>
      <c r="C83" t="s">
        <v>74</v>
      </c>
      <c r="D83" t="s">
        <v>36</v>
      </c>
      <c r="E83" t="s">
        <v>37</v>
      </c>
      <c r="F83" t="s">
        <v>38</v>
      </c>
      <c r="G83">
        <v>908526</v>
      </c>
      <c r="H83">
        <v>215000</v>
      </c>
      <c r="I83">
        <v>1229980</v>
      </c>
      <c r="J83" t="s">
        <v>39</v>
      </c>
      <c r="K83" t="s">
        <v>63</v>
      </c>
      <c r="L83" s="1">
        <v>34635</v>
      </c>
      <c r="M83">
        <v>27</v>
      </c>
      <c r="N83" t="s">
        <v>284</v>
      </c>
      <c r="O83" t="s">
        <v>77</v>
      </c>
      <c r="P83" t="s">
        <v>57</v>
      </c>
      <c r="Q83" s="1">
        <v>44075</v>
      </c>
      <c r="R83" s="1"/>
      <c r="S83" t="s">
        <v>44</v>
      </c>
      <c r="T83">
        <v>1.5726027397260274</v>
      </c>
      <c r="U83" t="s">
        <v>67</v>
      </c>
      <c r="V83" t="s">
        <v>46</v>
      </c>
      <c r="W83" t="s">
        <v>68</v>
      </c>
      <c r="Y83" t="s">
        <v>49</v>
      </c>
      <c r="Z83" t="s">
        <v>69</v>
      </c>
    </row>
    <row r="84" spans="1:26" x14ac:dyDescent="0.25">
      <c r="A84">
        <v>1042065113</v>
      </c>
      <c r="B84" t="s">
        <v>285</v>
      </c>
      <c r="C84" t="s">
        <v>74</v>
      </c>
      <c r="D84" t="s">
        <v>36</v>
      </c>
      <c r="E84" t="s">
        <v>115</v>
      </c>
      <c r="F84" t="s">
        <v>38</v>
      </c>
      <c r="G84">
        <v>908526</v>
      </c>
      <c r="H84">
        <v>400000</v>
      </c>
      <c r="I84">
        <v>1414980</v>
      </c>
      <c r="J84" t="s">
        <v>39</v>
      </c>
      <c r="K84" t="s">
        <v>40</v>
      </c>
      <c r="L84" s="1">
        <v>34762</v>
      </c>
      <c r="M84">
        <v>27</v>
      </c>
      <c r="N84" t="s">
        <v>286</v>
      </c>
      <c r="O84" t="s">
        <v>77</v>
      </c>
      <c r="P84" t="s">
        <v>43</v>
      </c>
      <c r="Q84" s="1">
        <v>42027</v>
      </c>
      <c r="R84" s="1"/>
      <c r="S84" t="s">
        <v>44</v>
      </c>
      <c r="T84">
        <v>7.183561643835616</v>
      </c>
      <c r="U84" t="s">
        <v>120</v>
      </c>
      <c r="V84" t="s">
        <v>46</v>
      </c>
      <c r="W84" t="s">
        <v>68</v>
      </c>
      <c r="X84" t="s">
        <v>48</v>
      </c>
      <c r="Y84" t="s">
        <v>49</v>
      </c>
      <c r="Z84" t="s">
        <v>69</v>
      </c>
    </row>
    <row r="85" spans="1:26" x14ac:dyDescent="0.25">
      <c r="A85">
        <v>1042770440</v>
      </c>
      <c r="B85" t="s">
        <v>287</v>
      </c>
      <c r="C85" t="s">
        <v>35</v>
      </c>
      <c r="D85" t="s">
        <v>36</v>
      </c>
      <c r="E85" t="s">
        <v>115</v>
      </c>
      <c r="F85" t="s">
        <v>62</v>
      </c>
      <c r="G85">
        <v>908526</v>
      </c>
      <c r="H85">
        <v>360000</v>
      </c>
      <c r="I85">
        <v>1374980</v>
      </c>
      <c r="J85" t="s">
        <v>86</v>
      </c>
      <c r="K85" t="s">
        <v>63</v>
      </c>
      <c r="L85" s="1">
        <v>33849</v>
      </c>
      <c r="M85">
        <v>29</v>
      </c>
      <c r="N85" t="s">
        <v>288</v>
      </c>
      <c r="O85" t="s">
        <v>65</v>
      </c>
      <c r="P85" t="s">
        <v>57</v>
      </c>
      <c r="Q85" s="1">
        <v>43116</v>
      </c>
      <c r="R85" s="1"/>
      <c r="S85" t="s">
        <v>44</v>
      </c>
      <c r="T85">
        <v>4.2</v>
      </c>
      <c r="U85" t="s">
        <v>67</v>
      </c>
      <c r="V85" t="s">
        <v>46</v>
      </c>
      <c r="W85" t="s">
        <v>68</v>
      </c>
      <c r="Y85" t="s">
        <v>49</v>
      </c>
      <c r="Z85" t="s">
        <v>60</v>
      </c>
    </row>
    <row r="86" spans="1:26" x14ac:dyDescent="0.25">
      <c r="A86">
        <v>71142265</v>
      </c>
      <c r="B86" t="s">
        <v>289</v>
      </c>
      <c r="C86" t="s">
        <v>74</v>
      </c>
      <c r="D86" t="s">
        <v>36</v>
      </c>
      <c r="E86" t="s">
        <v>37</v>
      </c>
      <c r="F86" t="s">
        <v>38</v>
      </c>
      <c r="G86">
        <v>908526</v>
      </c>
      <c r="H86">
        <v>255000</v>
      </c>
      <c r="I86">
        <v>1269980</v>
      </c>
      <c r="J86" t="s">
        <v>71</v>
      </c>
      <c r="K86" t="s">
        <v>40</v>
      </c>
      <c r="L86" s="1">
        <v>29330</v>
      </c>
      <c r="M86">
        <v>41</v>
      </c>
      <c r="N86" t="s">
        <v>204</v>
      </c>
      <c r="O86" t="s">
        <v>56</v>
      </c>
      <c r="P86" t="s">
        <v>43</v>
      </c>
      <c r="Q86" s="1">
        <v>43316</v>
      </c>
      <c r="R86" s="1"/>
      <c r="S86" t="s">
        <v>44</v>
      </c>
      <c r="T86">
        <v>3.6520547945205482</v>
      </c>
      <c r="U86" t="s">
        <v>120</v>
      </c>
      <c r="V86" t="s">
        <v>46</v>
      </c>
      <c r="W86" t="s">
        <v>59</v>
      </c>
      <c r="X86" t="s">
        <v>48</v>
      </c>
      <c r="Y86" t="s">
        <v>49</v>
      </c>
      <c r="Z86" t="s">
        <v>109</v>
      </c>
    </row>
    <row r="87" spans="1:26" x14ac:dyDescent="0.25">
      <c r="A87">
        <v>1001587976</v>
      </c>
      <c r="B87" t="s">
        <v>290</v>
      </c>
      <c r="C87" t="s">
        <v>74</v>
      </c>
      <c r="D87" t="s">
        <v>36</v>
      </c>
      <c r="E87" t="s">
        <v>37</v>
      </c>
      <c r="F87" t="s">
        <v>38</v>
      </c>
      <c r="G87">
        <v>908526</v>
      </c>
      <c r="H87">
        <v>282000</v>
      </c>
      <c r="I87">
        <v>1296980</v>
      </c>
      <c r="J87" t="s">
        <v>39</v>
      </c>
      <c r="K87" t="s">
        <v>40</v>
      </c>
      <c r="L87" s="1">
        <v>25494</v>
      </c>
      <c r="M87">
        <v>52</v>
      </c>
      <c r="N87" t="s">
        <v>130</v>
      </c>
      <c r="O87" t="s">
        <v>131</v>
      </c>
      <c r="P87" t="s">
        <v>57</v>
      </c>
      <c r="Q87" s="1">
        <v>42418</v>
      </c>
      <c r="R87" s="1"/>
      <c r="S87" t="s">
        <v>44</v>
      </c>
      <c r="T87">
        <v>6.1123287671232873</v>
      </c>
      <c r="U87" t="s">
        <v>45</v>
      </c>
      <c r="V87" t="s">
        <v>46</v>
      </c>
      <c r="W87" t="s">
        <v>47</v>
      </c>
      <c r="X87" t="s">
        <v>48</v>
      </c>
      <c r="Y87" t="s">
        <v>49</v>
      </c>
      <c r="Z87" t="s">
        <v>109</v>
      </c>
    </row>
    <row r="88" spans="1:26" x14ac:dyDescent="0.25">
      <c r="A88">
        <v>1035415345</v>
      </c>
      <c r="B88" t="s">
        <v>291</v>
      </c>
      <c r="C88" t="s">
        <v>74</v>
      </c>
      <c r="D88" t="s">
        <v>36</v>
      </c>
      <c r="E88" t="s">
        <v>37</v>
      </c>
      <c r="F88" t="s">
        <v>62</v>
      </c>
      <c r="G88">
        <v>908526</v>
      </c>
      <c r="H88">
        <v>168800</v>
      </c>
      <c r="I88">
        <v>1183780</v>
      </c>
      <c r="J88" t="s">
        <v>86</v>
      </c>
      <c r="K88" t="s">
        <v>72</v>
      </c>
      <c r="L88" s="1">
        <v>34239</v>
      </c>
      <c r="M88">
        <v>28</v>
      </c>
      <c r="N88" t="s">
        <v>292</v>
      </c>
      <c r="O88" t="s">
        <v>65</v>
      </c>
      <c r="P88" t="s">
        <v>43</v>
      </c>
      <c r="Q88" s="1">
        <v>44403</v>
      </c>
      <c r="R88" s="1"/>
      <c r="S88" t="s">
        <v>44</v>
      </c>
      <c r="T88">
        <v>0.67397260273972603</v>
      </c>
      <c r="U88" t="s">
        <v>128</v>
      </c>
      <c r="V88" t="s">
        <v>46</v>
      </c>
      <c r="W88" t="s">
        <v>68</v>
      </c>
      <c r="Y88" t="s">
        <v>49</v>
      </c>
      <c r="Z88" t="s">
        <v>60</v>
      </c>
    </row>
    <row r="89" spans="1:26" x14ac:dyDescent="0.25">
      <c r="A89">
        <v>1039048935</v>
      </c>
      <c r="B89" t="s">
        <v>293</v>
      </c>
      <c r="C89" t="s">
        <v>74</v>
      </c>
      <c r="D89" t="s">
        <v>36</v>
      </c>
      <c r="E89" t="s">
        <v>203</v>
      </c>
      <c r="F89" t="s">
        <v>38</v>
      </c>
      <c r="G89">
        <v>908526</v>
      </c>
      <c r="H89">
        <v>255000</v>
      </c>
      <c r="I89">
        <v>1269980</v>
      </c>
      <c r="J89" t="s">
        <v>39</v>
      </c>
      <c r="K89" t="s">
        <v>63</v>
      </c>
      <c r="L89" s="1">
        <v>32979</v>
      </c>
      <c r="M89">
        <v>31</v>
      </c>
      <c r="N89" t="s">
        <v>230</v>
      </c>
      <c r="O89" t="s">
        <v>77</v>
      </c>
      <c r="P89" t="s">
        <v>43</v>
      </c>
      <c r="Q89" s="1">
        <v>42570</v>
      </c>
      <c r="R89" s="1"/>
      <c r="S89" t="s">
        <v>44</v>
      </c>
      <c r="T89">
        <v>5.6958904109589037</v>
      </c>
      <c r="U89" t="s">
        <v>45</v>
      </c>
      <c r="V89" t="s">
        <v>46</v>
      </c>
      <c r="W89" t="s">
        <v>59</v>
      </c>
      <c r="X89" t="s">
        <v>48</v>
      </c>
      <c r="Y89" t="s">
        <v>49</v>
      </c>
      <c r="Z89" t="s">
        <v>60</v>
      </c>
    </row>
    <row r="90" spans="1:26" x14ac:dyDescent="0.25">
      <c r="A90">
        <v>1128455418</v>
      </c>
      <c r="B90" t="s">
        <v>294</v>
      </c>
      <c r="C90" t="s">
        <v>74</v>
      </c>
      <c r="D90" t="s">
        <v>36</v>
      </c>
      <c r="E90" t="s">
        <v>37</v>
      </c>
      <c r="F90" t="s">
        <v>38</v>
      </c>
      <c r="G90">
        <v>908526</v>
      </c>
      <c r="H90">
        <v>255000</v>
      </c>
      <c r="I90">
        <v>1269980</v>
      </c>
      <c r="J90" t="s">
        <v>39</v>
      </c>
      <c r="K90" t="s">
        <v>63</v>
      </c>
      <c r="L90" s="1">
        <v>33601</v>
      </c>
      <c r="M90">
        <v>30</v>
      </c>
      <c r="N90" t="s">
        <v>295</v>
      </c>
      <c r="O90" t="s">
        <v>296</v>
      </c>
      <c r="P90" t="s">
        <v>57</v>
      </c>
      <c r="Q90" s="1">
        <v>43304</v>
      </c>
      <c r="R90" s="1"/>
      <c r="S90" t="s">
        <v>44</v>
      </c>
      <c r="T90">
        <v>3.6849315068493151</v>
      </c>
      <c r="U90" t="s">
        <v>67</v>
      </c>
      <c r="V90" t="s">
        <v>46</v>
      </c>
      <c r="W90" t="s">
        <v>68</v>
      </c>
      <c r="X90" t="s">
        <v>48</v>
      </c>
      <c r="Y90" t="s">
        <v>49</v>
      </c>
      <c r="Z90" t="s">
        <v>60</v>
      </c>
    </row>
    <row r="91" spans="1:26" x14ac:dyDescent="0.25">
      <c r="A91">
        <v>1035831407</v>
      </c>
      <c r="B91" t="s">
        <v>297</v>
      </c>
      <c r="C91" t="s">
        <v>74</v>
      </c>
      <c r="D91" t="s">
        <v>36</v>
      </c>
      <c r="E91" t="s">
        <v>115</v>
      </c>
      <c r="F91" t="s">
        <v>62</v>
      </c>
      <c r="G91">
        <v>908526</v>
      </c>
      <c r="H91">
        <v>200000</v>
      </c>
      <c r="I91">
        <v>1214980</v>
      </c>
      <c r="J91" t="s">
        <v>106</v>
      </c>
      <c r="K91" t="s">
        <v>112</v>
      </c>
      <c r="L91" s="1">
        <v>33495</v>
      </c>
      <c r="M91">
        <v>30</v>
      </c>
      <c r="N91" t="s">
        <v>64</v>
      </c>
      <c r="O91" t="s">
        <v>65</v>
      </c>
      <c r="P91" t="s">
        <v>57</v>
      </c>
      <c r="Q91" s="1">
        <v>44020</v>
      </c>
      <c r="R91" s="1"/>
      <c r="S91" t="s">
        <v>44</v>
      </c>
      <c r="T91">
        <v>1.7232876712328766</v>
      </c>
      <c r="U91" t="s">
        <v>67</v>
      </c>
      <c r="V91" t="s">
        <v>46</v>
      </c>
      <c r="W91" t="s">
        <v>68</v>
      </c>
      <c r="Y91" t="s">
        <v>49</v>
      </c>
      <c r="Z91" t="s">
        <v>60</v>
      </c>
    </row>
    <row r="92" spans="1:26" x14ac:dyDescent="0.25">
      <c r="A92">
        <v>1000311041</v>
      </c>
      <c r="B92" t="s">
        <v>298</v>
      </c>
      <c r="C92" t="s">
        <v>74</v>
      </c>
      <c r="D92" t="s">
        <v>36</v>
      </c>
      <c r="E92" t="s">
        <v>37</v>
      </c>
      <c r="F92" t="s">
        <v>38</v>
      </c>
      <c r="G92">
        <v>908526</v>
      </c>
      <c r="H92">
        <v>215000</v>
      </c>
      <c r="I92">
        <v>1229980</v>
      </c>
      <c r="J92" t="s">
        <v>39</v>
      </c>
      <c r="K92" t="s">
        <v>75</v>
      </c>
      <c r="L92" s="1">
        <v>35685</v>
      </c>
      <c r="M92">
        <v>24</v>
      </c>
      <c r="N92" t="s">
        <v>299</v>
      </c>
      <c r="O92" t="s">
        <v>300</v>
      </c>
      <c r="P92" t="s">
        <v>57</v>
      </c>
      <c r="Q92" s="1">
        <v>44243</v>
      </c>
      <c r="R92" s="1"/>
      <c r="S92" t="s">
        <v>44</v>
      </c>
      <c r="T92">
        <v>1.1123287671232878</v>
      </c>
      <c r="U92" t="s">
        <v>128</v>
      </c>
      <c r="V92" t="s">
        <v>46</v>
      </c>
      <c r="W92" t="s">
        <v>68</v>
      </c>
      <c r="Y92" t="s">
        <v>49</v>
      </c>
      <c r="Z92" t="s">
        <v>69</v>
      </c>
    </row>
    <row r="93" spans="1:26" x14ac:dyDescent="0.25">
      <c r="A93">
        <v>71141374</v>
      </c>
      <c r="B93" t="s">
        <v>301</v>
      </c>
      <c r="C93" t="s">
        <v>74</v>
      </c>
      <c r="D93" t="s">
        <v>36</v>
      </c>
      <c r="E93" t="s">
        <v>115</v>
      </c>
      <c r="F93" t="s">
        <v>38</v>
      </c>
      <c r="G93">
        <v>908526</v>
      </c>
      <c r="H93">
        <v>215000</v>
      </c>
      <c r="I93">
        <v>1229980</v>
      </c>
      <c r="J93" t="s">
        <v>39</v>
      </c>
      <c r="K93" t="s">
        <v>87</v>
      </c>
      <c r="L93" s="1">
        <v>25892</v>
      </c>
      <c r="M93">
        <v>51</v>
      </c>
      <c r="N93" t="s">
        <v>302</v>
      </c>
      <c r="O93" t="s">
        <v>56</v>
      </c>
      <c r="P93" t="s">
        <v>43</v>
      </c>
      <c r="Q93" s="1">
        <v>43740</v>
      </c>
      <c r="R93" s="1"/>
      <c r="S93" t="s">
        <v>44</v>
      </c>
      <c r="T93">
        <v>2.4904109589041097</v>
      </c>
      <c r="U93" t="s">
        <v>45</v>
      </c>
      <c r="V93" t="s">
        <v>46</v>
      </c>
      <c r="W93" t="s">
        <v>47</v>
      </c>
      <c r="X93" t="s">
        <v>48</v>
      </c>
      <c r="Y93" t="s">
        <v>49</v>
      </c>
      <c r="Z93" t="s">
        <v>109</v>
      </c>
    </row>
    <row r="94" spans="1:26" x14ac:dyDescent="0.25">
      <c r="A94">
        <v>1026149498</v>
      </c>
      <c r="B94" t="s">
        <v>303</v>
      </c>
      <c r="C94" t="s">
        <v>74</v>
      </c>
      <c r="D94" t="s">
        <v>36</v>
      </c>
      <c r="E94" t="s">
        <v>115</v>
      </c>
      <c r="F94" t="s">
        <v>38</v>
      </c>
      <c r="G94">
        <v>908526</v>
      </c>
      <c r="H94">
        <v>400000</v>
      </c>
      <c r="I94">
        <v>1414980</v>
      </c>
      <c r="J94" t="s">
        <v>39</v>
      </c>
      <c r="K94" t="s">
        <v>75</v>
      </c>
      <c r="L94" s="1">
        <v>34234</v>
      </c>
      <c r="M94">
        <v>28</v>
      </c>
      <c r="N94" t="s">
        <v>304</v>
      </c>
      <c r="O94" t="s">
        <v>305</v>
      </c>
      <c r="P94" t="s">
        <v>57</v>
      </c>
      <c r="Q94" s="1">
        <v>41148</v>
      </c>
      <c r="R94" s="1"/>
      <c r="S94" t="s">
        <v>44</v>
      </c>
      <c r="T94">
        <v>9.5917808219178085</v>
      </c>
      <c r="U94" t="s">
        <v>120</v>
      </c>
      <c r="V94" t="s">
        <v>46</v>
      </c>
      <c r="W94" t="s">
        <v>68</v>
      </c>
      <c r="X94" t="s">
        <v>48</v>
      </c>
      <c r="Y94" t="s">
        <v>49</v>
      </c>
      <c r="Z94" t="s">
        <v>60</v>
      </c>
    </row>
    <row r="95" spans="1:26" x14ac:dyDescent="0.25">
      <c r="A95">
        <v>1017143397</v>
      </c>
      <c r="B95" t="s">
        <v>306</v>
      </c>
      <c r="C95" t="s">
        <v>74</v>
      </c>
      <c r="D95" t="s">
        <v>36</v>
      </c>
      <c r="E95" t="s">
        <v>37</v>
      </c>
      <c r="F95" t="s">
        <v>38</v>
      </c>
      <c r="G95">
        <v>908526</v>
      </c>
      <c r="H95">
        <v>215000</v>
      </c>
      <c r="I95">
        <v>1229980</v>
      </c>
      <c r="J95" t="s">
        <v>71</v>
      </c>
      <c r="K95" t="s">
        <v>40</v>
      </c>
      <c r="L95" s="1">
        <v>30230</v>
      </c>
      <c r="M95">
        <v>39</v>
      </c>
      <c r="N95" t="s">
        <v>230</v>
      </c>
      <c r="O95" t="s">
        <v>77</v>
      </c>
      <c r="P95" t="s">
        <v>43</v>
      </c>
      <c r="Q95" s="1">
        <v>42386</v>
      </c>
      <c r="R95" s="1"/>
      <c r="S95" t="s">
        <v>44</v>
      </c>
      <c r="T95">
        <v>6.2</v>
      </c>
      <c r="U95" t="s">
        <v>128</v>
      </c>
      <c r="V95" t="s">
        <v>46</v>
      </c>
      <c r="W95" t="s">
        <v>59</v>
      </c>
      <c r="X95" t="s">
        <v>48</v>
      </c>
      <c r="Y95" t="s">
        <v>49</v>
      </c>
      <c r="Z95" t="s">
        <v>60</v>
      </c>
    </row>
    <row r="96" spans="1:26" x14ac:dyDescent="0.25">
      <c r="A96">
        <v>1128264141</v>
      </c>
      <c r="B96" t="s">
        <v>307</v>
      </c>
      <c r="C96" t="s">
        <v>74</v>
      </c>
      <c r="D96" t="s">
        <v>36</v>
      </c>
      <c r="E96" t="s">
        <v>308</v>
      </c>
      <c r="F96" t="s">
        <v>62</v>
      </c>
      <c r="G96">
        <v>3500000</v>
      </c>
      <c r="H96">
        <v>1000000</v>
      </c>
      <c r="I96">
        <v>4500000</v>
      </c>
      <c r="J96" t="s">
        <v>39</v>
      </c>
      <c r="K96" t="s">
        <v>40</v>
      </c>
      <c r="L96" s="1">
        <v>31532</v>
      </c>
      <c r="M96">
        <v>35</v>
      </c>
      <c r="N96" t="s">
        <v>309</v>
      </c>
      <c r="O96" t="s">
        <v>65</v>
      </c>
      <c r="P96" t="s">
        <v>57</v>
      </c>
      <c r="Q96" s="1">
        <v>40909</v>
      </c>
      <c r="R96" s="1"/>
      <c r="S96" t="s">
        <v>44</v>
      </c>
      <c r="T96">
        <v>10.246575342465754</v>
      </c>
      <c r="U96" t="s">
        <v>67</v>
      </c>
      <c r="V96" t="s">
        <v>46</v>
      </c>
      <c r="W96" t="s">
        <v>59</v>
      </c>
      <c r="X96" t="s">
        <v>48</v>
      </c>
      <c r="Y96" t="s">
        <v>256</v>
      </c>
      <c r="Z96" t="s">
        <v>60</v>
      </c>
    </row>
    <row r="97" spans="1:26" x14ac:dyDescent="0.25">
      <c r="A97">
        <v>70415031</v>
      </c>
      <c r="B97" t="s">
        <v>310</v>
      </c>
      <c r="C97" t="s">
        <v>74</v>
      </c>
      <c r="D97" t="s">
        <v>36</v>
      </c>
      <c r="E97" t="s">
        <v>37</v>
      </c>
      <c r="F97" t="s">
        <v>38</v>
      </c>
      <c r="G97">
        <v>908526</v>
      </c>
      <c r="H97">
        <v>255000</v>
      </c>
      <c r="I97">
        <v>1269980</v>
      </c>
      <c r="J97" t="s">
        <v>39</v>
      </c>
      <c r="K97" t="s">
        <v>40</v>
      </c>
      <c r="L97" s="1">
        <v>23347</v>
      </c>
      <c r="M97">
        <v>58</v>
      </c>
      <c r="N97" t="s">
        <v>311</v>
      </c>
      <c r="O97" t="s">
        <v>56</v>
      </c>
      <c r="P97" t="s">
        <v>57</v>
      </c>
      <c r="Q97" s="1">
        <v>40826</v>
      </c>
      <c r="R97" s="1"/>
      <c r="S97" t="s">
        <v>44</v>
      </c>
      <c r="T97">
        <v>10.473972602739726</v>
      </c>
      <c r="U97" t="s">
        <v>45</v>
      </c>
      <c r="V97" t="s">
        <v>46</v>
      </c>
      <c r="W97" t="s">
        <v>47</v>
      </c>
      <c r="X97" t="s">
        <v>48</v>
      </c>
      <c r="Y97" t="s">
        <v>49</v>
      </c>
      <c r="Z97" t="s">
        <v>50</v>
      </c>
    </row>
    <row r="98" spans="1:26" x14ac:dyDescent="0.25">
      <c r="A98">
        <v>12209788</v>
      </c>
      <c r="B98" t="s">
        <v>312</v>
      </c>
      <c r="C98" t="s">
        <v>74</v>
      </c>
      <c r="D98" t="s">
        <v>36</v>
      </c>
      <c r="E98" t="s">
        <v>37</v>
      </c>
      <c r="F98" t="s">
        <v>38</v>
      </c>
      <c r="G98">
        <v>908526</v>
      </c>
      <c r="H98">
        <v>215000</v>
      </c>
      <c r="I98">
        <v>1229980</v>
      </c>
      <c r="J98" t="s">
        <v>126</v>
      </c>
      <c r="K98" t="s">
        <v>75</v>
      </c>
      <c r="L98" s="1">
        <v>28652</v>
      </c>
      <c r="M98">
        <v>43</v>
      </c>
      <c r="N98" t="s">
        <v>313</v>
      </c>
      <c r="O98" t="s">
        <v>56</v>
      </c>
      <c r="P98" t="s">
        <v>43</v>
      </c>
      <c r="Q98" s="1">
        <v>44033</v>
      </c>
      <c r="R98" s="1"/>
      <c r="S98" t="s">
        <v>44</v>
      </c>
      <c r="T98">
        <v>1.6876712328767123</v>
      </c>
      <c r="U98" t="s">
        <v>120</v>
      </c>
      <c r="V98" t="s">
        <v>46</v>
      </c>
      <c r="W98" t="s">
        <v>59</v>
      </c>
      <c r="X98" t="s">
        <v>48</v>
      </c>
      <c r="Y98" t="s">
        <v>49</v>
      </c>
      <c r="Z98" t="s">
        <v>109</v>
      </c>
    </row>
    <row r="99" spans="1:26" x14ac:dyDescent="0.25">
      <c r="A99">
        <v>1000919331</v>
      </c>
      <c r="B99" t="s">
        <v>314</v>
      </c>
      <c r="C99" t="s">
        <v>74</v>
      </c>
      <c r="D99" t="s">
        <v>36</v>
      </c>
      <c r="E99" t="s">
        <v>37</v>
      </c>
      <c r="F99" t="s">
        <v>38</v>
      </c>
      <c r="G99">
        <v>908526</v>
      </c>
      <c r="H99">
        <v>282000</v>
      </c>
      <c r="I99">
        <v>1296980</v>
      </c>
      <c r="J99" t="s">
        <v>39</v>
      </c>
      <c r="K99" t="s">
        <v>40</v>
      </c>
      <c r="L99" s="1">
        <v>37496</v>
      </c>
      <c r="M99">
        <v>19</v>
      </c>
      <c r="N99" t="s">
        <v>305</v>
      </c>
      <c r="O99" t="s">
        <v>56</v>
      </c>
      <c r="P99" t="s">
        <v>57</v>
      </c>
      <c r="Q99" s="1">
        <v>44112</v>
      </c>
      <c r="R99" s="1"/>
      <c r="S99" t="s">
        <v>44</v>
      </c>
      <c r="T99">
        <v>1.4712328767123288</v>
      </c>
      <c r="U99" t="s">
        <v>67</v>
      </c>
      <c r="V99" t="s">
        <v>46</v>
      </c>
      <c r="W99" t="s">
        <v>68</v>
      </c>
      <c r="X99" t="s">
        <v>48</v>
      </c>
      <c r="Y99" t="s">
        <v>49</v>
      </c>
      <c r="Z99" t="s">
        <v>69</v>
      </c>
    </row>
    <row r="100" spans="1:26" x14ac:dyDescent="0.25">
      <c r="A100">
        <v>21841825</v>
      </c>
      <c r="B100" t="s">
        <v>315</v>
      </c>
      <c r="C100" t="s">
        <v>74</v>
      </c>
      <c r="D100" t="s">
        <v>36</v>
      </c>
      <c r="E100" t="s">
        <v>37</v>
      </c>
      <c r="F100" t="s">
        <v>38</v>
      </c>
      <c r="G100">
        <v>908526</v>
      </c>
      <c r="H100">
        <v>282000</v>
      </c>
      <c r="I100">
        <v>1296980</v>
      </c>
      <c r="J100" t="s">
        <v>39</v>
      </c>
      <c r="K100" t="s">
        <v>40</v>
      </c>
      <c r="L100" s="1">
        <v>34795</v>
      </c>
      <c r="M100">
        <v>26</v>
      </c>
      <c r="N100" t="s">
        <v>84</v>
      </c>
      <c r="O100" t="s">
        <v>56</v>
      </c>
      <c r="P100" t="s">
        <v>57</v>
      </c>
      <c r="Q100" s="1">
        <v>44105</v>
      </c>
      <c r="R100" s="1"/>
      <c r="S100" t="s">
        <v>44</v>
      </c>
      <c r="T100">
        <v>1.4904109589041097</v>
      </c>
      <c r="U100" t="s">
        <v>120</v>
      </c>
      <c r="V100" t="s">
        <v>46</v>
      </c>
      <c r="W100" t="s">
        <v>68</v>
      </c>
      <c r="Y100" t="s">
        <v>49</v>
      </c>
      <c r="Z100" t="s">
        <v>69</v>
      </c>
    </row>
    <row r="101" spans="1:26" x14ac:dyDescent="0.25">
      <c r="A101">
        <v>70556195</v>
      </c>
      <c r="B101" t="s">
        <v>316</v>
      </c>
      <c r="C101" t="s">
        <v>74</v>
      </c>
      <c r="D101" t="s">
        <v>36</v>
      </c>
      <c r="E101" t="s">
        <v>99</v>
      </c>
      <c r="F101" t="s">
        <v>38</v>
      </c>
      <c r="G101">
        <v>1300000</v>
      </c>
      <c r="H101">
        <v>300000</v>
      </c>
      <c r="I101">
        <v>1706454</v>
      </c>
      <c r="J101" t="s">
        <v>158</v>
      </c>
      <c r="K101" t="s">
        <v>40</v>
      </c>
      <c r="L101" s="1">
        <v>22870</v>
      </c>
      <c r="M101">
        <v>59</v>
      </c>
      <c r="N101" t="s">
        <v>317</v>
      </c>
      <c r="O101" t="s">
        <v>97</v>
      </c>
      <c r="P101" t="s">
        <v>43</v>
      </c>
      <c r="Q101" s="1">
        <v>44013</v>
      </c>
      <c r="R101" s="1"/>
      <c r="S101" t="s">
        <v>44</v>
      </c>
      <c r="T101">
        <v>1.7424657534246575</v>
      </c>
      <c r="U101" t="s">
        <v>128</v>
      </c>
      <c r="V101" t="s">
        <v>46</v>
      </c>
      <c r="W101" t="s">
        <v>47</v>
      </c>
      <c r="Y101" t="s">
        <v>49</v>
      </c>
      <c r="Z101" t="s">
        <v>50</v>
      </c>
    </row>
    <row r="102" spans="1:26" x14ac:dyDescent="0.25">
      <c r="A102">
        <v>1026159879</v>
      </c>
      <c r="B102" t="s">
        <v>318</v>
      </c>
      <c r="C102" t="s">
        <v>74</v>
      </c>
      <c r="D102" t="s">
        <v>36</v>
      </c>
      <c r="E102" t="s">
        <v>37</v>
      </c>
      <c r="F102" t="s">
        <v>38</v>
      </c>
      <c r="G102">
        <v>908526</v>
      </c>
      <c r="H102">
        <v>0</v>
      </c>
      <c r="I102">
        <v>1014980</v>
      </c>
      <c r="J102" t="s">
        <v>39</v>
      </c>
      <c r="K102" t="s">
        <v>72</v>
      </c>
      <c r="L102" s="1">
        <v>35992</v>
      </c>
      <c r="M102">
        <v>23</v>
      </c>
      <c r="N102" t="s">
        <v>204</v>
      </c>
      <c r="O102" t="s">
        <v>56</v>
      </c>
      <c r="P102" t="s">
        <v>43</v>
      </c>
      <c r="Q102" s="1">
        <v>44389</v>
      </c>
      <c r="R102" s="1"/>
      <c r="S102" t="s">
        <v>44</v>
      </c>
      <c r="T102">
        <v>0.71232876712328763</v>
      </c>
      <c r="U102" t="s">
        <v>67</v>
      </c>
      <c r="V102" t="s">
        <v>46</v>
      </c>
      <c r="W102" t="s">
        <v>68</v>
      </c>
      <c r="Y102" t="s">
        <v>49</v>
      </c>
      <c r="Z102" t="s">
        <v>69</v>
      </c>
    </row>
    <row r="103" spans="1:26" x14ac:dyDescent="0.25">
      <c r="A103">
        <v>1128449771</v>
      </c>
      <c r="B103" t="s">
        <v>319</v>
      </c>
      <c r="C103" t="s">
        <v>74</v>
      </c>
      <c r="D103" t="s">
        <v>94</v>
      </c>
      <c r="E103" t="s">
        <v>320</v>
      </c>
      <c r="F103" t="s">
        <v>38</v>
      </c>
      <c r="G103">
        <v>1200000</v>
      </c>
      <c r="H103">
        <v>0</v>
      </c>
      <c r="I103">
        <v>1200000</v>
      </c>
      <c r="J103" t="s">
        <v>39</v>
      </c>
      <c r="K103" t="s">
        <v>63</v>
      </c>
      <c r="L103" s="1">
        <v>32622</v>
      </c>
      <c r="M103">
        <v>32</v>
      </c>
      <c r="N103" t="s">
        <v>321</v>
      </c>
      <c r="O103" t="s">
        <v>38</v>
      </c>
      <c r="P103" t="s">
        <v>57</v>
      </c>
      <c r="Q103" s="1">
        <v>42620</v>
      </c>
      <c r="R103" s="1"/>
      <c r="S103" t="s">
        <v>44</v>
      </c>
      <c r="T103">
        <v>5.558904109589041</v>
      </c>
      <c r="U103" t="s">
        <v>67</v>
      </c>
      <c r="V103" t="s">
        <v>46</v>
      </c>
      <c r="W103" t="s">
        <v>59</v>
      </c>
      <c r="X103" t="s">
        <v>48</v>
      </c>
      <c r="Y103" t="s">
        <v>49</v>
      </c>
      <c r="Z103" t="s">
        <v>60</v>
      </c>
    </row>
    <row r="104" spans="1:26" x14ac:dyDescent="0.25">
      <c r="A104">
        <v>98643761</v>
      </c>
      <c r="B104" t="s">
        <v>322</v>
      </c>
      <c r="C104" t="s">
        <v>74</v>
      </c>
      <c r="D104" t="s">
        <v>36</v>
      </c>
      <c r="E104" t="s">
        <v>323</v>
      </c>
      <c r="F104" t="s">
        <v>38</v>
      </c>
      <c r="G104">
        <v>1200000</v>
      </c>
      <c r="H104">
        <v>1100000</v>
      </c>
      <c r="I104">
        <v>2406454</v>
      </c>
      <c r="J104" t="s">
        <v>39</v>
      </c>
      <c r="K104" t="s">
        <v>75</v>
      </c>
      <c r="L104" s="1">
        <v>27855</v>
      </c>
      <c r="M104">
        <v>45</v>
      </c>
      <c r="N104" t="s">
        <v>324</v>
      </c>
      <c r="O104" t="s">
        <v>325</v>
      </c>
      <c r="P104" t="s">
        <v>43</v>
      </c>
      <c r="Q104" s="1">
        <v>44306</v>
      </c>
      <c r="R104" s="1"/>
      <c r="S104" t="s">
        <v>44</v>
      </c>
      <c r="T104">
        <v>0.9397260273972603</v>
      </c>
      <c r="U104" t="s">
        <v>67</v>
      </c>
      <c r="V104" t="s">
        <v>46</v>
      </c>
      <c r="W104" t="s">
        <v>59</v>
      </c>
      <c r="Y104" t="s">
        <v>49</v>
      </c>
      <c r="Z104" t="s">
        <v>109</v>
      </c>
    </row>
    <row r="105" spans="1:26" x14ac:dyDescent="0.25">
      <c r="A105">
        <v>1042772806</v>
      </c>
      <c r="B105" t="s">
        <v>326</v>
      </c>
      <c r="C105" t="s">
        <v>35</v>
      </c>
      <c r="D105" t="s">
        <v>36</v>
      </c>
      <c r="E105" t="s">
        <v>37</v>
      </c>
      <c r="F105" t="s">
        <v>62</v>
      </c>
      <c r="G105">
        <v>908526</v>
      </c>
      <c r="H105">
        <v>168800</v>
      </c>
      <c r="I105">
        <v>1183780</v>
      </c>
      <c r="J105" t="s">
        <v>86</v>
      </c>
      <c r="K105" t="s">
        <v>118</v>
      </c>
      <c r="L105" s="1">
        <v>29665</v>
      </c>
      <c r="M105">
        <v>41</v>
      </c>
      <c r="N105" t="s">
        <v>327</v>
      </c>
      <c r="O105" t="s">
        <v>65</v>
      </c>
      <c r="P105" t="s">
        <v>57</v>
      </c>
      <c r="Q105" s="1">
        <v>44105</v>
      </c>
      <c r="R105" s="1"/>
      <c r="S105" t="s">
        <v>44</v>
      </c>
      <c r="T105">
        <v>1.4904109589041097</v>
      </c>
      <c r="U105" t="s">
        <v>120</v>
      </c>
      <c r="V105" t="s">
        <v>46</v>
      </c>
      <c r="W105" t="s">
        <v>59</v>
      </c>
      <c r="Y105" t="s">
        <v>49</v>
      </c>
      <c r="Z105" t="s">
        <v>60</v>
      </c>
    </row>
    <row r="106" spans="1:26" x14ac:dyDescent="0.25">
      <c r="A106">
        <v>1036682909</v>
      </c>
      <c r="B106" t="s">
        <v>328</v>
      </c>
      <c r="C106" t="s">
        <v>74</v>
      </c>
      <c r="D106" t="s">
        <v>36</v>
      </c>
      <c r="E106" t="s">
        <v>329</v>
      </c>
      <c r="F106" t="s">
        <v>38</v>
      </c>
      <c r="G106">
        <v>1200000</v>
      </c>
      <c r="H106">
        <v>0</v>
      </c>
      <c r="I106">
        <v>1306454</v>
      </c>
      <c r="J106" t="s">
        <v>39</v>
      </c>
      <c r="K106" t="s">
        <v>63</v>
      </c>
      <c r="L106" s="1">
        <v>29432</v>
      </c>
      <c r="M106">
        <v>41</v>
      </c>
      <c r="N106" t="s">
        <v>330</v>
      </c>
      <c r="O106" t="s">
        <v>56</v>
      </c>
      <c r="P106" t="s">
        <v>57</v>
      </c>
      <c r="Q106" s="1">
        <v>44208</v>
      </c>
      <c r="R106" s="1"/>
      <c r="S106" t="s">
        <v>44</v>
      </c>
      <c r="T106">
        <v>1.2082191780821918</v>
      </c>
      <c r="U106" t="s">
        <v>67</v>
      </c>
      <c r="V106" t="s">
        <v>46</v>
      </c>
      <c r="W106" t="s">
        <v>59</v>
      </c>
      <c r="Y106" t="s">
        <v>49</v>
      </c>
      <c r="Z106" t="s">
        <v>109</v>
      </c>
    </row>
    <row r="107" spans="1:26" x14ac:dyDescent="0.25">
      <c r="A107">
        <v>98672181</v>
      </c>
      <c r="B107" t="s">
        <v>331</v>
      </c>
      <c r="C107" t="s">
        <v>74</v>
      </c>
      <c r="D107" t="s">
        <v>36</v>
      </c>
      <c r="E107" t="s">
        <v>332</v>
      </c>
      <c r="F107" t="s">
        <v>38</v>
      </c>
      <c r="G107">
        <v>1249999.9920000001</v>
      </c>
      <c r="H107">
        <v>500000</v>
      </c>
      <c r="I107">
        <v>1856453.9920000001</v>
      </c>
      <c r="J107" t="s">
        <v>39</v>
      </c>
      <c r="K107" t="s">
        <v>75</v>
      </c>
      <c r="L107" s="1">
        <v>29368</v>
      </c>
      <c r="M107">
        <v>41</v>
      </c>
      <c r="N107" t="s">
        <v>333</v>
      </c>
      <c r="O107" t="s">
        <v>97</v>
      </c>
      <c r="P107" t="s">
        <v>43</v>
      </c>
      <c r="Q107" s="1">
        <v>44214</v>
      </c>
      <c r="R107" s="1">
        <v>44463</v>
      </c>
      <c r="S107" t="s">
        <v>44</v>
      </c>
      <c r="T107">
        <v>0.68219178082191778</v>
      </c>
      <c r="U107" t="s">
        <v>67</v>
      </c>
      <c r="V107" t="s">
        <v>82</v>
      </c>
      <c r="W107" t="s">
        <v>59</v>
      </c>
      <c r="X107" t="s">
        <v>48</v>
      </c>
      <c r="Y107" t="s">
        <v>49</v>
      </c>
      <c r="Z107" t="s">
        <v>109</v>
      </c>
    </row>
    <row r="108" spans="1:26" x14ac:dyDescent="0.25">
      <c r="A108">
        <v>98628460</v>
      </c>
      <c r="B108" t="s">
        <v>334</v>
      </c>
      <c r="C108" t="s">
        <v>74</v>
      </c>
      <c r="D108" t="s">
        <v>36</v>
      </c>
      <c r="E108" t="s">
        <v>99</v>
      </c>
      <c r="F108" t="s">
        <v>62</v>
      </c>
      <c r="G108">
        <v>1300000</v>
      </c>
      <c r="H108">
        <v>0</v>
      </c>
      <c r="I108">
        <v>1406454</v>
      </c>
      <c r="J108" t="s">
        <v>71</v>
      </c>
      <c r="K108" t="s">
        <v>75</v>
      </c>
      <c r="L108" s="1">
        <v>28159</v>
      </c>
      <c r="M108">
        <v>45</v>
      </c>
      <c r="N108" t="s">
        <v>335</v>
      </c>
      <c r="O108" t="s">
        <v>38</v>
      </c>
      <c r="P108" t="s">
        <v>57</v>
      </c>
      <c r="Q108" s="1">
        <v>44204</v>
      </c>
      <c r="R108" s="1"/>
      <c r="S108" t="s">
        <v>44</v>
      </c>
      <c r="T108">
        <v>1.2191780821917808</v>
      </c>
      <c r="U108" t="s">
        <v>120</v>
      </c>
      <c r="V108" t="s">
        <v>46</v>
      </c>
      <c r="W108" t="s">
        <v>59</v>
      </c>
      <c r="Y108" t="s">
        <v>49</v>
      </c>
      <c r="Z108" t="s">
        <v>109</v>
      </c>
    </row>
    <row r="109" spans="1:26" x14ac:dyDescent="0.25">
      <c r="A109">
        <v>1036674109</v>
      </c>
      <c r="B109" t="s">
        <v>336</v>
      </c>
      <c r="C109" t="s">
        <v>74</v>
      </c>
      <c r="D109" t="s">
        <v>94</v>
      </c>
      <c r="E109" t="s">
        <v>337</v>
      </c>
      <c r="F109" t="s">
        <v>79</v>
      </c>
      <c r="G109">
        <v>1700000</v>
      </c>
      <c r="H109">
        <v>0</v>
      </c>
      <c r="I109">
        <v>1806454</v>
      </c>
      <c r="J109" t="s">
        <v>39</v>
      </c>
      <c r="K109" t="s">
        <v>40</v>
      </c>
      <c r="L109" s="1">
        <v>35620</v>
      </c>
      <c r="M109">
        <v>24</v>
      </c>
      <c r="N109" t="s">
        <v>338</v>
      </c>
      <c r="O109" t="s">
        <v>339</v>
      </c>
      <c r="P109" t="s">
        <v>57</v>
      </c>
      <c r="Q109" s="1">
        <v>43223</v>
      </c>
      <c r="R109" s="1">
        <v>44435</v>
      </c>
      <c r="S109" t="s">
        <v>44</v>
      </c>
      <c r="T109">
        <v>3.3205479452054796</v>
      </c>
      <c r="U109" t="s">
        <v>67</v>
      </c>
      <c r="V109" t="s">
        <v>82</v>
      </c>
      <c r="W109" t="s">
        <v>68</v>
      </c>
      <c r="Y109" t="s">
        <v>49</v>
      </c>
      <c r="Z109" t="s">
        <v>69</v>
      </c>
    </row>
    <row r="110" spans="1:26" x14ac:dyDescent="0.25">
      <c r="A110">
        <v>71557303</v>
      </c>
      <c r="B110" t="s">
        <v>340</v>
      </c>
      <c r="C110" t="s">
        <v>74</v>
      </c>
      <c r="D110" t="s">
        <v>36</v>
      </c>
      <c r="E110" t="s">
        <v>184</v>
      </c>
      <c r="F110" t="s">
        <v>38</v>
      </c>
      <c r="G110">
        <v>1100000</v>
      </c>
      <c r="H110">
        <v>0</v>
      </c>
      <c r="I110">
        <v>1100000</v>
      </c>
      <c r="J110" t="s">
        <v>39</v>
      </c>
      <c r="K110" t="s">
        <v>63</v>
      </c>
      <c r="L110" s="1">
        <v>30760</v>
      </c>
      <c r="M110">
        <v>38</v>
      </c>
      <c r="N110" t="s">
        <v>341</v>
      </c>
      <c r="O110" t="s">
        <v>342</v>
      </c>
      <c r="P110" t="s">
        <v>43</v>
      </c>
      <c r="Q110" s="1">
        <v>43997</v>
      </c>
      <c r="R110" s="1"/>
      <c r="S110" t="s">
        <v>44</v>
      </c>
      <c r="T110">
        <v>1.7863013698630137</v>
      </c>
      <c r="U110" t="s">
        <v>89</v>
      </c>
      <c r="V110" t="s">
        <v>46</v>
      </c>
      <c r="W110" t="s">
        <v>59</v>
      </c>
      <c r="Y110" t="s">
        <v>49</v>
      </c>
      <c r="Z110" t="s">
        <v>60</v>
      </c>
    </row>
    <row r="111" spans="1:26" x14ac:dyDescent="0.25">
      <c r="A111">
        <v>1007442022</v>
      </c>
      <c r="B111" t="s">
        <v>343</v>
      </c>
      <c r="C111" t="s">
        <v>74</v>
      </c>
      <c r="D111" t="s">
        <v>104</v>
      </c>
      <c r="E111" t="s">
        <v>105</v>
      </c>
      <c r="F111" t="s">
        <v>79</v>
      </c>
      <c r="G111">
        <v>2000000</v>
      </c>
      <c r="H111">
        <v>0</v>
      </c>
      <c r="I111">
        <v>2106454</v>
      </c>
      <c r="J111" t="s">
        <v>39</v>
      </c>
      <c r="K111" t="s">
        <v>39</v>
      </c>
      <c r="L111" s="1">
        <v>25362</v>
      </c>
      <c r="M111">
        <v>52</v>
      </c>
      <c r="N111" t="s">
        <v>344</v>
      </c>
      <c r="O111" t="s">
        <v>345</v>
      </c>
      <c r="P111" t="s">
        <v>57</v>
      </c>
      <c r="Q111" s="1">
        <v>44075</v>
      </c>
      <c r="R111" s="1"/>
      <c r="S111" t="s">
        <v>44</v>
      </c>
      <c r="T111">
        <v>1.5726027397260274</v>
      </c>
      <c r="U111" t="s">
        <v>67</v>
      </c>
      <c r="V111" t="s">
        <v>46</v>
      </c>
      <c r="W111" t="s">
        <v>47</v>
      </c>
      <c r="Y111" t="s">
        <v>49</v>
      </c>
      <c r="Z111" t="s">
        <v>109</v>
      </c>
    </row>
    <row r="112" spans="1:26" x14ac:dyDescent="0.25">
      <c r="A112">
        <v>71397833</v>
      </c>
      <c r="B112" t="s">
        <v>346</v>
      </c>
      <c r="C112" t="s">
        <v>74</v>
      </c>
      <c r="D112" t="s">
        <v>36</v>
      </c>
      <c r="E112" t="s">
        <v>115</v>
      </c>
      <c r="F112" t="s">
        <v>38</v>
      </c>
      <c r="G112">
        <v>908526</v>
      </c>
      <c r="H112">
        <v>400000</v>
      </c>
      <c r="I112">
        <v>1414980</v>
      </c>
      <c r="J112" t="s">
        <v>39</v>
      </c>
      <c r="K112" t="s">
        <v>40</v>
      </c>
      <c r="L112" s="1">
        <v>28986</v>
      </c>
      <c r="M112">
        <v>42</v>
      </c>
      <c r="N112" t="s">
        <v>204</v>
      </c>
      <c r="O112" t="s">
        <v>56</v>
      </c>
      <c r="P112" t="s">
        <v>43</v>
      </c>
      <c r="Q112" s="1">
        <v>41313</v>
      </c>
      <c r="R112" s="1"/>
      <c r="S112" t="s">
        <v>44</v>
      </c>
      <c r="T112">
        <v>9.1397260273972609</v>
      </c>
      <c r="U112" t="s">
        <v>120</v>
      </c>
      <c r="V112" t="s">
        <v>46</v>
      </c>
      <c r="W112" t="s">
        <v>59</v>
      </c>
      <c r="X112" t="s">
        <v>48</v>
      </c>
      <c r="Y112" t="s">
        <v>49</v>
      </c>
      <c r="Z112" t="s">
        <v>109</v>
      </c>
    </row>
    <row r="113" spans="1:26" x14ac:dyDescent="0.25">
      <c r="A113">
        <v>1042065024</v>
      </c>
      <c r="B113" t="s">
        <v>347</v>
      </c>
      <c r="C113" t="s">
        <v>74</v>
      </c>
      <c r="D113" t="s">
        <v>36</v>
      </c>
      <c r="E113" t="s">
        <v>37</v>
      </c>
      <c r="F113" t="s">
        <v>38</v>
      </c>
      <c r="G113">
        <v>908526</v>
      </c>
      <c r="H113">
        <v>282000</v>
      </c>
      <c r="I113">
        <v>1296980</v>
      </c>
      <c r="J113" t="s">
        <v>86</v>
      </c>
      <c r="K113" t="s">
        <v>118</v>
      </c>
      <c r="L113" s="1">
        <v>34687</v>
      </c>
      <c r="M113">
        <v>27</v>
      </c>
      <c r="N113" t="s">
        <v>348</v>
      </c>
      <c r="O113" t="s">
        <v>131</v>
      </c>
      <c r="P113" t="s">
        <v>57</v>
      </c>
      <c r="Q113" s="1">
        <v>44112</v>
      </c>
      <c r="R113" s="1">
        <v>44446</v>
      </c>
      <c r="S113" t="s">
        <v>44</v>
      </c>
      <c r="T113">
        <v>0.91506849315068495</v>
      </c>
      <c r="U113" t="s">
        <v>120</v>
      </c>
      <c r="V113" t="s">
        <v>82</v>
      </c>
      <c r="W113" t="s">
        <v>68</v>
      </c>
      <c r="Y113" t="s">
        <v>49</v>
      </c>
      <c r="Z113" t="s">
        <v>69</v>
      </c>
    </row>
    <row r="114" spans="1:26" x14ac:dyDescent="0.25">
      <c r="A114">
        <v>22148492</v>
      </c>
      <c r="B114" t="s">
        <v>349</v>
      </c>
      <c r="C114" t="s">
        <v>35</v>
      </c>
      <c r="D114" t="s">
        <v>36</v>
      </c>
      <c r="E114" t="s">
        <v>37</v>
      </c>
      <c r="F114" t="s">
        <v>62</v>
      </c>
      <c r="G114">
        <v>908526</v>
      </c>
      <c r="H114">
        <v>168800</v>
      </c>
      <c r="I114">
        <v>1183780</v>
      </c>
      <c r="J114" t="s">
        <v>158</v>
      </c>
      <c r="K114" t="s">
        <v>112</v>
      </c>
      <c r="L114" s="1">
        <v>27020</v>
      </c>
      <c r="M114">
        <v>48</v>
      </c>
      <c r="N114" t="s">
        <v>64</v>
      </c>
      <c r="O114" t="s">
        <v>65</v>
      </c>
      <c r="P114" t="s">
        <v>57</v>
      </c>
      <c r="Q114" s="1">
        <v>44025</v>
      </c>
      <c r="R114" s="1"/>
      <c r="S114" t="s">
        <v>44</v>
      </c>
      <c r="T114">
        <v>1.7095890410958905</v>
      </c>
      <c r="U114" t="s">
        <v>67</v>
      </c>
      <c r="V114" t="s">
        <v>46</v>
      </c>
      <c r="W114" t="s">
        <v>59</v>
      </c>
      <c r="Y114" t="s">
        <v>49</v>
      </c>
      <c r="Z114" t="s">
        <v>109</v>
      </c>
    </row>
    <row r="115" spans="1:26" x14ac:dyDescent="0.25">
      <c r="A115">
        <v>1127668930</v>
      </c>
      <c r="B115" t="s">
        <v>350</v>
      </c>
      <c r="C115" t="s">
        <v>74</v>
      </c>
      <c r="D115" t="s">
        <v>36</v>
      </c>
      <c r="E115" t="s">
        <v>37</v>
      </c>
      <c r="F115" t="s">
        <v>38</v>
      </c>
      <c r="G115">
        <v>908526</v>
      </c>
      <c r="H115">
        <v>255000</v>
      </c>
      <c r="I115">
        <v>1269980</v>
      </c>
      <c r="J115" t="s">
        <v>39</v>
      </c>
      <c r="K115" t="s">
        <v>40</v>
      </c>
      <c r="L115" s="1">
        <v>33419</v>
      </c>
      <c r="M115">
        <v>30</v>
      </c>
      <c r="N115" t="s">
        <v>351</v>
      </c>
      <c r="O115" t="s">
        <v>56</v>
      </c>
      <c r="P115" t="s">
        <v>43</v>
      </c>
      <c r="Q115" s="1">
        <v>43367</v>
      </c>
      <c r="R115" s="1"/>
      <c r="S115" t="s">
        <v>44</v>
      </c>
      <c r="T115">
        <v>3.5123287671232877</v>
      </c>
      <c r="U115" t="s">
        <v>67</v>
      </c>
      <c r="V115" t="s">
        <v>46</v>
      </c>
      <c r="W115" t="s">
        <v>68</v>
      </c>
      <c r="X115" t="s">
        <v>48</v>
      </c>
      <c r="Y115" t="s">
        <v>49</v>
      </c>
      <c r="Z115" t="s">
        <v>60</v>
      </c>
    </row>
    <row r="116" spans="1:26" x14ac:dyDescent="0.25">
      <c r="A116">
        <v>1193102242</v>
      </c>
      <c r="B116" t="s">
        <v>352</v>
      </c>
      <c r="C116" t="s">
        <v>74</v>
      </c>
      <c r="D116" t="s">
        <v>36</v>
      </c>
      <c r="E116" t="s">
        <v>37</v>
      </c>
      <c r="F116" t="s">
        <v>62</v>
      </c>
      <c r="G116">
        <v>908526</v>
      </c>
      <c r="H116">
        <v>0</v>
      </c>
      <c r="I116">
        <v>1014980</v>
      </c>
      <c r="J116" t="s">
        <v>71</v>
      </c>
      <c r="L116" s="1">
        <v>36959</v>
      </c>
      <c r="M116">
        <v>21</v>
      </c>
      <c r="N116" t="s">
        <v>64</v>
      </c>
      <c r="O116" t="s">
        <v>65</v>
      </c>
      <c r="P116" t="s">
        <v>57</v>
      </c>
      <c r="Q116" s="1">
        <v>44431</v>
      </c>
      <c r="R116" s="1"/>
      <c r="S116" t="s">
        <v>44</v>
      </c>
      <c r="T116">
        <v>0.59726027397260273</v>
      </c>
      <c r="U116" t="s">
        <v>67</v>
      </c>
      <c r="V116" t="s">
        <v>46</v>
      </c>
      <c r="W116" t="s">
        <v>68</v>
      </c>
      <c r="Y116" t="s">
        <v>49</v>
      </c>
      <c r="Z116" t="s">
        <v>69</v>
      </c>
    </row>
    <row r="117" spans="1:26" x14ac:dyDescent="0.25">
      <c r="A117">
        <v>1067924340</v>
      </c>
      <c r="B117" t="s">
        <v>353</v>
      </c>
      <c r="C117" t="s">
        <v>35</v>
      </c>
      <c r="D117" t="s">
        <v>52</v>
      </c>
      <c r="E117" t="s">
        <v>354</v>
      </c>
      <c r="F117" t="s">
        <v>38</v>
      </c>
      <c r="G117">
        <v>1200000</v>
      </c>
      <c r="H117">
        <v>0</v>
      </c>
      <c r="I117">
        <v>1306454</v>
      </c>
      <c r="J117" t="s">
        <v>126</v>
      </c>
      <c r="K117" t="s">
        <v>75</v>
      </c>
      <c r="L117" s="1">
        <v>33769</v>
      </c>
      <c r="M117">
        <v>29</v>
      </c>
      <c r="N117" t="s">
        <v>355</v>
      </c>
      <c r="O117" t="s">
        <v>56</v>
      </c>
      <c r="P117" t="s">
        <v>43</v>
      </c>
      <c r="Q117" s="1">
        <v>44244</v>
      </c>
      <c r="R117" s="1"/>
      <c r="S117" t="s">
        <v>44</v>
      </c>
      <c r="T117">
        <v>1.1095890410958904</v>
      </c>
      <c r="U117" t="s">
        <v>67</v>
      </c>
      <c r="V117" t="s">
        <v>46</v>
      </c>
      <c r="W117" t="s">
        <v>68</v>
      </c>
      <c r="Y117" t="s">
        <v>49</v>
      </c>
      <c r="Z117" t="s">
        <v>60</v>
      </c>
    </row>
    <row r="118" spans="1:26" x14ac:dyDescent="0.25">
      <c r="A118">
        <v>1000397385</v>
      </c>
      <c r="B118" t="s">
        <v>356</v>
      </c>
      <c r="C118" t="s">
        <v>35</v>
      </c>
      <c r="D118" t="s">
        <v>36</v>
      </c>
      <c r="E118" t="s">
        <v>37</v>
      </c>
      <c r="F118" t="s">
        <v>38</v>
      </c>
      <c r="G118">
        <v>908526</v>
      </c>
      <c r="H118">
        <v>0</v>
      </c>
      <c r="I118">
        <v>1014980</v>
      </c>
      <c r="J118" t="s">
        <v>39</v>
      </c>
      <c r="K118" t="s">
        <v>72</v>
      </c>
      <c r="L118" s="1">
        <v>36893</v>
      </c>
      <c r="M118">
        <v>21</v>
      </c>
      <c r="N118" t="s">
        <v>357</v>
      </c>
      <c r="O118" t="s">
        <v>56</v>
      </c>
      <c r="P118" t="s">
        <v>57</v>
      </c>
      <c r="Q118" s="1">
        <v>44396</v>
      </c>
      <c r="R118" s="1"/>
      <c r="S118" t="s">
        <v>44</v>
      </c>
      <c r="T118">
        <v>0.69315068493150689</v>
      </c>
      <c r="U118" t="s">
        <v>67</v>
      </c>
      <c r="V118" t="s">
        <v>46</v>
      </c>
      <c r="W118" t="s">
        <v>68</v>
      </c>
      <c r="Y118" t="s">
        <v>49</v>
      </c>
      <c r="Z118" t="s">
        <v>69</v>
      </c>
    </row>
    <row r="119" spans="1:26" x14ac:dyDescent="0.25">
      <c r="A119">
        <v>1017191771</v>
      </c>
      <c r="B119" t="s">
        <v>358</v>
      </c>
      <c r="C119" t="s">
        <v>74</v>
      </c>
      <c r="D119" t="s">
        <v>36</v>
      </c>
      <c r="E119" t="s">
        <v>105</v>
      </c>
      <c r="F119" t="s">
        <v>79</v>
      </c>
      <c r="G119">
        <v>2000000</v>
      </c>
      <c r="H119">
        <v>0</v>
      </c>
      <c r="I119">
        <v>2000000</v>
      </c>
      <c r="J119" t="s">
        <v>106</v>
      </c>
      <c r="K119" t="s">
        <v>118</v>
      </c>
      <c r="L119" s="1">
        <v>33376</v>
      </c>
      <c r="M119">
        <v>30</v>
      </c>
      <c r="N119" t="s">
        <v>359</v>
      </c>
      <c r="O119" t="s">
        <v>38</v>
      </c>
      <c r="P119" t="s">
        <v>57</v>
      </c>
      <c r="Q119" s="1">
        <v>44396</v>
      </c>
      <c r="R119" s="1">
        <v>44428</v>
      </c>
      <c r="S119" t="s">
        <v>44</v>
      </c>
      <c r="T119">
        <v>8.7671232876712329E-2</v>
      </c>
      <c r="U119" t="s">
        <v>67</v>
      </c>
      <c r="V119" t="s">
        <v>82</v>
      </c>
      <c r="W119" t="s">
        <v>68</v>
      </c>
      <c r="Y119" t="s">
        <v>49</v>
      </c>
      <c r="Z119" t="s">
        <v>60</v>
      </c>
    </row>
    <row r="120" spans="1:26" x14ac:dyDescent="0.25">
      <c r="A120">
        <v>1064976005</v>
      </c>
      <c r="B120" t="s">
        <v>360</v>
      </c>
      <c r="C120" t="s">
        <v>35</v>
      </c>
      <c r="D120" t="s">
        <v>52</v>
      </c>
      <c r="E120" t="s">
        <v>216</v>
      </c>
      <c r="F120" t="s">
        <v>62</v>
      </c>
      <c r="G120">
        <v>1550000</v>
      </c>
      <c r="H120">
        <v>0</v>
      </c>
      <c r="I120">
        <v>1656454</v>
      </c>
      <c r="J120" t="s">
        <v>39</v>
      </c>
      <c r="K120" t="s">
        <v>63</v>
      </c>
      <c r="L120" s="1">
        <v>35883</v>
      </c>
      <c r="M120">
        <v>24</v>
      </c>
      <c r="N120" t="s">
        <v>361</v>
      </c>
      <c r="O120" t="s">
        <v>65</v>
      </c>
      <c r="P120" t="s">
        <v>57</v>
      </c>
      <c r="Q120" s="1">
        <v>44391</v>
      </c>
      <c r="R120" s="1"/>
      <c r="S120" t="s">
        <v>44</v>
      </c>
      <c r="T120">
        <v>0.70684931506849313</v>
      </c>
      <c r="U120" t="s">
        <v>67</v>
      </c>
      <c r="V120" t="s">
        <v>46</v>
      </c>
      <c r="W120" t="s">
        <v>68</v>
      </c>
      <c r="Y120" t="s">
        <v>49</v>
      </c>
      <c r="Z120" t="s">
        <v>69</v>
      </c>
    </row>
    <row r="121" spans="1:26" x14ac:dyDescent="0.25">
      <c r="A121">
        <v>15339502</v>
      </c>
      <c r="B121" t="s">
        <v>362</v>
      </c>
      <c r="C121" t="s">
        <v>74</v>
      </c>
      <c r="D121" t="s">
        <v>36</v>
      </c>
      <c r="E121" t="s">
        <v>115</v>
      </c>
      <c r="F121" t="s">
        <v>38</v>
      </c>
      <c r="G121">
        <v>908526</v>
      </c>
      <c r="H121">
        <v>282000</v>
      </c>
      <c r="I121">
        <v>1296980</v>
      </c>
      <c r="J121" t="s">
        <v>39</v>
      </c>
      <c r="K121" t="s">
        <v>40</v>
      </c>
      <c r="L121" s="1">
        <v>28491</v>
      </c>
      <c r="M121">
        <v>44</v>
      </c>
      <c r="N121" t="s">
        <v>363</v>
      </c>
      <c r="O121" t="s">
        <v>173</v>
      </c>
      <c r="P121" t="s">
        <v>43</v>
      </c>
      <c r="Q121" s="1">
        <v>41169</v>
      </c>
      <c r="R121" s="1"/>
      <c r="S121" t="s">
        <v>44</v>
      </c>
      <c r="T121">
        <v>9.5342465753424666</v>
      </c>
      <c r="U121" t="s">
        <v>120</v>
      </c>
      <c r="V121" t="s">
        <v>46</v>
      </c>
      <c r="W121" t="s">
        <v>59</v>
      </c>
      <c r="X121" t="s">
        <v>48</v>
      </c>
      <c r="Y121" t="s">
        <v>49</v>
      </c>
      <c r="Z121" t="s">
        <v>109</v>
      </c>
    </row>
    <row r="122" spans="1:26" x14ac:dyDescent="0.25">
      <c r="A122">
        <v>43280442</v>
      </c>
      <c r="B122" t="s">
        <v>364</v>
      </c>
      <c r="C122" t="s">
        <v>35</v>
      </c>
      <c r="D122" t="s">
        <v>52</v>
      </c>
      <c r="E122" t="s">
        <v>365</v>
      </c>
      <c r="F122" t="s">
        <v>38</v>
      </c>
      <c r="G122">
        <v>2900000</v>
      </c>
      <c r="H122">
        <v>0</v>
      </c>
      <c r="I122">
        <v>2900000</v>
      </c>
      <c r="J122" t="s">
        <v>39</v>
      </c>
      <c r="K122" t="s">
        <v>40</v>
      </c>
      <c r="L122" s="1">
        <v>29912</v>
      </c>
      <c r="M122">
        <v>40</v>
      </c>
      <c r="N122" t="s">
        <v>366</v>
      </c>
      <c r="O122" t="s">
        <v>56</v>
      </c>
      <c r="P122" t="s">
        <v>57</v>
      </c>
      <c r="Q122" s="1">
        <v>44095</v>
      </c>
      <c r="R122" s="1"/>
      <c r="S122" t="s">
        <v>44</v>
      </c>
      <c r="T122">
        <v>1.5178082191780822</v>
      </c>
      <c r="U122" t="s">
        <v>67</v>
      </c>
      <c r="V122" t="s">
        <v>46</v>
      </c>
      <c r="W122" t="s">
        <v>59</v>
      </c>
      <c r="Y122" t="s">
        <v>49</v>
      </c>
      <c r="Z122" t="s">
        <v>60</v>
      </c>
    </row>
    <row r="123" spans="1:26" x14ac:dyDescent="0.25">
      <c r="A123">
        <v>71394660</v>
      </c>
      <c r="B123" t="s">
        <v>367</v>
      </c>
      <c r="C123" t="s">
        <v>74</v>
      </c>
      <c r="D123" t="s">
        <v>36</v>
      </c>
      <c r="E123" t="s">
        <v>37</v>
      </c>
      <c r="F123" t="s">
        <v>38</v>
      </c>
      <c r="G123">
        <v>908526</v>
      </c>
      <c r="H123">
        <v>255000</v>
      </c>
      <c r="I123">
        <v>1269980</v>
      </c>
      <c r="J123" t="s">
        <v>39</v>
      </c>
      <c r="K123" t="s">
        <v>40</v>
      </c>
      <c r="L123" s="1">
        <v>26784</v>
      </c>
      <c r="M123">
        <v>48</v>
      </c>
      <c r="N123" t="s">
        <v>302</v>
      </c>
      <c r="O123" t="s">
        <v>56</v>
      </c>
      <c r="P123" t="s">
        <v>43</v>
      </c>
      <c r="Q123" s="1">
        <v>41727</v>
      </c>
      <c r="R123" s="1"/>
      <c r="S123" t="s">
        <v>44</v>
      </c>
      <c r="T123">
        <v>8.0054794520547947</v>
      </c>
      <c r="U123" t="s">
        <v>128</v>
      </c>
      <c r="V123" t="s">
        <v>46</v>
      </c>
      <c r="W123" t="s">
        <v>59</v>
      </c>
      <c r="X123" t="s">
        <v>48</v>
      </c>
      <c r="Y123" t="s">
        <v>49</v>
      </c>
      <c r="Z123" t="s">
        <v>109</v>
      </c>
    </row>
    <row r="124" spans="1:26" x14ac:dyDescent="0.25">
      <c r="A124">
        <v>3664413</v>
      </c>
      <c r="B124" t="s">
        <v>368</v>
      </c>
      <c r="C124" t="s">
        <v>74</v>
      </c>
      <c r="D124" t="s">
        <v>36</v>
      </c>
      <c r="E124" t="s">
        <v>37</v>
      </c>
      <c r="F124" t="s">
        <v>62</v>
      </c>
      <c r="G124">
        <v>908526</v>
      </c>
      <c r="H124">
        <v>0</v>
      </c>
      <c r="I124">
        <v>1014980</v>
      </c>
      <c r="J124" t="s">
        <v>71</v>
      </c>
      <c r="K124" t="s">
        <v>63</v>
      </c>
      <c r="L124" s="1">
        <v>31369</v>
      </c>
      <c r="M124">
        <v>36</v>
      </c>
      <c r="N124" t="s">
        <v>369</v>
      </c>
      <c r="O124" t="s">
        <v>65</v>
      </c>
      <c r="P124" t="s">
        <v>57</v>
      </c>
      <c r="Q124" s="1">
        <v>44431</v>
      </c>
      <c r="R124" s="1"/>
      <c r="S124" t="s">
        <v>44</v>
      </c>
      <c r="T124">
        <v>0.59726027397260273</v>
      </c>
      <c r="U124" t="s">
        <v>120</v>
      </c>
      <c r="V124" t="s">
        <v>46</v>
      </c>
      <c r="W124" t="s">
        <v>59</v>
      </c>
      <c r="Y124" t="s">
        <v>49</v>
      </c>
      <c r="Z124" t="s">
        <v>60</v>
      </c>
    </row>
    <row r="125" spans="1:26" x14ac:dyDescent="0.25">
      <c r="A125">
        <v>71398097</v>
      </c>
      <c r="B125" t="s">
        <v>370</v>
      </c>
      <c r="C125" t="s">
        <v>74</v>
      </c>
      <c r="D125" t="s">
        <v>94</v>
      </c>
      <c r="E125" t="s">
        <v>95</v>
      </c>
      <c r="F125" t="s">
        <v>38</v>
      </c>
      <c r="G125">
        <v>908526</v>
      </c>
      <c r="H125">
        <v>0</v>
      </c>
      <c r="I125">
        <v>1000000</v>
      </c>
      <c r="J125" t="s">
        <v>39</v>
      </c>
      <c r="K125" t="s">
        <v>40</v>
      </c>
      <c r="L125" s="1">
        <v>29059</v>
      </c>
      <c r="M125">
        <v>42</v>
      </c>
      <c r="N125" t="s">
        <v>371</v>
      </c>
      <c r="O125" t="s">
        <v>372</v>
      </c>
      <c r="P125" t="s">
        <v>57</v>
      </c>
      <c r="Q125" s="1">
        <v>42386</v>
      </c>
      <c r="R125" s="1"/>
      <c r="S125" t="s">
        <v>44</v>
      </c>
      <c r="T125">
        <v>6.2</v>
      </c>
      <c r="U125" t="s">
        <v>67</v>
      </c>
      <c r="V125" t="s">
        <v>46</v>
      </c>
      <c r="W125" t="s">
        <v>59</v>
      </c>
      <c r="X125" t="s">
        <v>48</v>
      </c>
      <c r="Y125" t="s">
        <v>49</v>
      </c>
      <c r="Z125" t="s">
        <v>109</v>
      </c>
    </row>
    <row r="126" spans="1:26" x14ac:dyDescent="0.25">
      <c r="A126">
        <v>8071637</v>
      </c>
      <c r="B126" t="s">
        <v>373</v>
      </c>
      <c r="C126" t="s">
        <v>74</v>
      </c>
      <c r="D126" t="s">
        <v>36</v>
      </c>
      <c r="E126" t="s">
        <v>115</v>
      </c>
      <c r="F126" t="s">
        <v>38</v>
      </c>
      <c r="G126">
        <v>908526</v>
      </c>
      <c r="H126">
        <v>315000</v>
      </c>
      <c r="I126">
        <v>1329980</v>
      </c>
      <c r="J126" t="s">
        <v>39</v>
      </c>
      <c r="K126" t="s">
        <v>40</v>
      </c>
      <c r="L126" s="1">
        <v>31076</v>
      </c>
      <c r="M126">
        <v>37</v>
      </c>
      <c r="N126" t="s">
        <v>374</v>
      </c>
      <c r="O126" t="s">
        <v>56</v>
      </c>
      <c r="P126" t="s">
        <v>57</v>
      </c>
      <c r="Q126" s="1">
        <v>42017</v>
      </c>
      <c r="R126" s="1"/>
      <c r="S126" t="s">
        <v>44</v>
      </c>
      <c r="T126">
        <v>7.2109589041095887</v>
      </c>
      <c r="U126" t="s">
        <v>67</v>
      </c>
      <c r="V126" t="s">
        <v>46</v>
      </c>
      <c r="W126" t="s">
        <v>59</v>
      </c>
      <c r="X126" t="s">
        <v>48</v>
      </c>
      <c r="Y126" t="s">
        <v>49</v>
      </c>
      <c r="Z126" t="s">
        <v>60</v>
      </c>
    </row>
    <row r="127" spans="1:26" x14ac:dyDescent="0.25">
      <c r="A127">
        <v>1042067032</v>
      </c>
      <c r="B127" t="s">
        <v>375</v>
      </c>
      <c r="C127" t="s">
        <v>74</v>
      </c>
      <c r="D127" t="s">
        <v>36</v>
      </c>
      <c r="E127" t="s">
        <v>37</v>
      </c>
      <c r="F127" t="s">
        <v>38</v>
      </c>
      <c r="G127">
        <v>908526</v>
      </c>
      <c r="H127">
        <v>215000</v>
      </c>
      <c r="I127">
        <v>1229980</v>
      </c>
      <c r="J127" t="s">
        <v>161</v>
      </c>
      <c r="K127" t="s">
        <v>63</v>
      </c>
      <c r="L127" s="1">
        <v>36303</v>
      </c>
      <c r="M127">
        <v>22</v>
      </c>
      <c r="N127" t="s">
        <v>376</v>
      </c>
      <c r="O127" t="s">
        <v>131</v>
      </c>
      <c r="P127" t="s">
        <v>57</v>
      </c>
      <c r="Q127" s="1">
        <v>43162</v>
      </c>
      <c r="R127" s="1"/>
      <c r="S127" t="s">
        <v>44</v>
      </c>
      <c r="T127">
        <v>4.0739726027397261</v>
      </c>
      <c r="U127" t="s">
        <v>45</v>
      </c>
      <c r="V127" t="s">
        <v>46</v>
      </c>
      <c r="W127" t="s">
        <v>68</v>
      </c>
      <c r="X127" t="s">
        <v>48</v>
      </c>
      <c r="Y127" t="s">
        <v>49</v>
      </c>
      <c r="Z127" t="s">
        <v>69</v>
      </c>
    </row>
    <row r="128" spans="1:26" x14ac:dyDescent="0.25">
      <c r="A128">
        <v>1000765517</v>
      </c>
      <c r="B128" t="s">
        <v>377</v>
      </c>
      <c r="C128" t="s">
        <v>74</v>
      </c>
      <c r="D128" t="s">
        <v>36</v>
      </c>
      <c r="E128" t="s">
        <v>37</v>
      </c>
      <c r="F128" t="s">
        <v>62</v>
      </c>
      <c r="G128">
        <v>908526</v>
      </c>
      <c r="H128">
        <v>168800</v>
      </c>
      <c r="I128">
        <v>1183780</v>
      </c>
      <c r="J128" t="s">
        <v>39</v>
      </c>
      <c r="K128" t="s">
        <v>72</v>
      </c>
      <c r="L128" s="1">
        <v>37484</v>
      </c>
      <c r="M128">
        <v>19</v>
      </c>
      <c r="N128" t="s">
        <v>378</v>
      </c>
      <c r="O128" t="s">
        <v>65</v>
      </c>
      <c r="P128" t="s">
        <v>57</v>
      </c>
      <c r="Q128" s="1">
        <v>44263</v>
      </c>
      <c r="R128" s="1"/>
      <c r="S128" t="s">
        <v>44</v>
      </c>
      <c r="T128">
        <v>1.0575342465753426</v>
      </c>
      <c r="U128" t="s">
        <v>67</v>
      </c>
      <c r="V128" t="s">
        <v>46</v>
      </c>
      <c r="W128" t="s">
        <v>68</v>
      </c>
      <c r="Y128" t="s">
        <v>49</v>
      </c>
      <c r="Z128" t="s">
        <v>69</v>
      </c>
    </row>
    <row r="129" spans="1:26" x14ac:dyDescent="0.25">
      <c r="A129">
        <v>15274748</v>
      </c>
      <c r="B129" t="s">
        <v>379</v>
      </c>
      <c r="C129" t="s">
        <v>74</v>
      </c>
      <c r="D129" t="s">
        <v>36</v>
      </c>
      <c r="E129" t="s">
        <v>272</v>
      </c>
      <c r="F129" t="s">
        <v>62</v>
      </c>
      <c r="G129">
        <v>908526</v>
      </c>
      <c r="H129">
        <v>360000</v>
      </c>
      <c r="I129">
        <v>1374980</v>
      </c>
      <c r="J129" t="s">
        <v>158</v>
      </c>
      <c r="K129" t="s">
        <v>40</v>
      </c>
      <c r="L129" s="1">
        <v>30889</v>
      </c>
      <c r="M129">
        <v>37</v>
      </c>
      <c r="N129" t="s">
        <v>380</v>
      </c>
      <c r="O129" t="s">
        <v>65</v>
      </c>
      <c r="P129" t="s">
        <v>57</v>
      </c>
      <c r="Q129" s="1">
        <v>43147</v>
      </c>
      <c r="R129" s="1"/>
      <c r="S129" t="s">
        <v>44</v>
      </c>
      <c r="T129">
        <v>4.1150684931506847</v>
      </c>
      <c r="U129" t="s">
        <v>67</v>
      </c>
      <c r="V129" t="s">
        <v>46</v>
      </c>
      <c r="W129" t="s">
        <v>59</v>
      </c>
      <c r="X129" t="s">
        <v>48</v>
      </c>
      <c r="Y129" t="s">
        <v>49</v>
      </c>
      <c r="Z129" t="s">
        <v>60</v>
      </c>
    </row>
    <row r="130" spans="1:26" x14ac:dyDescent="0.25">
      <c r="A130">
        <v>71905858</v>
      </c>
      <c r="B130" t="s">
        <v>381</v>
      </c>
      <c r="C130" t="s">
        <v>74</v>
      </c>
      <c r="D130" t="s">
        <v>36</v>
      </c>
      <c r="E130" t="s">
        <v>37</v>
      </c>
      <c r="F130" t="s">
        <v>62</v>
      </c>
      <c r="G130">
        <v>908526</v>
      </c>
      <c r="H130">
        <v>300000</v>
      </c>
      <c r="I130">
        <v>1314980</v>
      </c>
      <c r="J130" t="s">
        <v>158</v>
      </c>
      <c r="K130" t="s">
        <v>40</v>
      </c>
      <c r="L130" s="1">
        <v>27571</v>
      </c>
      <c r="M130">
        <v>46</v>
      </c>
      <c r="N130" t="s">
        <v>64</v>
      </c>
      <c r="O130" t="s">
        <v>382</v>
      </c>
      <c r="P130" t="s">
        <v>43</v>
      </c>
      <c r="Q130" s="1">
        <v>44099</v>
      </c>
      <c r="R130" s="1"/>
      <c r="S130" t="s">
        <v>44</v>
      </c>
      <c r="T130">
        <v>-120.81917808219178</v>
      </c>
      <c r="U130" t="s">
        <v>128</v>
      </c>
      <c r="V130" t="s">
        <v>82</v>
      </c>
      <c r="W130" t="s">
        <v>59</v>
      </c>
      <c r="Y130" t="s">
        <v>49</v>
      </c>
      <c r="Z130" t="s">
        <v>109</v>
      </c>
    </row>
    <row r="131" spans="1:26" x14ac:dyDescent="0.25">
      <c r="A131">
        <v>71221825</v>
      </c>
      <c r="B131" t="s">
        <v>383</v>
      </c>
      <c r="C131" t="s">
        <v>74</v>
      </c>
      <c r="D131" t="s">
        <v>36</v>
      </c>
      <c r="E131" t="s">
        <v>323</v>
      </c>
      <c r="F131" t="s">
        <v>38</v>
      </c>
      <c r="G131">
        <v>1200000</v>
      </c>
      <c r="H131">
        <v>1100000</v>
      </c>
      <c r="I131">
        <v>2406454</v>
      </c>
      <c r="J131" t="s">
        <v>39</v>
      </c>
      <c r="K131" t="s">
        <v>75</v>
      </c>
      <c r="L131" s="1">
        <v>29378</v>
      </c>
      <c r="M131">
        <v>41</v>
      </c>
      <c r="N131" t="s">
        <v>384</v>
      </c>
      <c r="O131" t="s">
        <v>148</v>
      </c>
      <c r="P131" t="s">
        <v>43</v>
      </c>
      <c r="Q131" s="1">
        <v>42087</v>
      </c>
      <c r="R131" s="1"/>
      <c r="S131" t="s">
        <v>44</v>
      </c>
      <c r="T131">
        <v>7.0191780821917806</v>
      </c>
      <c r="U131" t="s">
        <v>67</v>
      </c>
      <c r="V131" t="s">
        <v>46</v>
      </c>
      <c r="W131" t="s">
        <v>59</v>
      </c>
      <c r="Y131" t="s">
        <v>49</v>
      </c>
      <c r="Z131" t="s">
        <v>109</v>
      </c>
    </row>
    <row r="132" spans="1:26" x14ac:dyDescent="0.25">
      <c r="A132">
        <v>15338983</v>
      </c>
      <c r="B132" t="s">
        <v>385</v>
      </c>
      <c r="C132" t="s">
        <v>74</v>
      </c>
      <c r="D132" t="s">
        <v>36</v>
      </c>
      <c r="E132" t="s">
        <v>37</v>
      </c>
      <c r="F132" t="s">
        <v>79</v>
      </c>
      <c r="G132">
        <v>908526</v>
      </c>
      <c r="H132">
        <v>0</v>
      </c>
      <c r="I132">
        <v>1014980</v>
      </c>
      <c r="J132" t="s">
        <v>39</v>
      </c>
      <c r="K132" t="s">
        <v>40</v>
      </c>
      <c r="L132" s="1">
        <v>27974</v>
      </c>
      <c r="M132">
        <v>45</v>
      </c>
      <c r="N132" t="s">
        <v>386</v>
      </c>
      <c r="O132" t="s">
        <v>56</v>
      </c>
      <c r="P132" t="s">
        <v>57</v>
      </c>
      <c r="Q132" s="1">
        <v>43800</v>
      </c>
      <c r="R132" s="1"/>
      <c r="S132" t="s">
        <v>44</v>
      </c>
      <c r="T132">
        <v>2.3260273972602739</v>
      </c>
      <c r="U132" t="s">
        <v>120</v>
      </c>
      <c r="V132" t="s">
        <v>46</v>
      </c>
      <c r="W132" t="s">
        <v>59</v>
      </c>
      <c r="Y132" t="s">
        <v>49</v>
      </c>
      <c r="Z132" t="s">
        <v>109</v>
      </c>
    </row>
    <row r="133" spans="1:26" x14ac:dyDescent="0.25">
      <c r="A133">
        <v>934144924091985</v>
      </c>
      <c r="B133" t="s">
        <v>387</v>
      </c>
      <c r="C133" t="s">
        <v>74</v>
      </c>
      <c r="D133" t="s">
        <v>36</v>
      </c>
      <c r="E133" t="s">
        <v>37</v>
      </c>
      <c r="F133" t="s">
        <v>38</v>
      </c>
      <c r="G133">
        <v>908526</v>
      </c>
      <c r="H133">
        <v>315000</v>
      </c>
      <c r="I133">
        <v>1329980</v>
      </c>
      <c r="J133" t="s">
        <v>39</v>
      </c>
      <c r="K133" t="s">
        <v>40</v>
      </c>
      <c r="L133" s="1">
        <v>31314</v>
      </c>
      <c r="M133">
        <v>36</v>
      </c>
      <c r="N133" t="s">
        <v>388</v>
      </c>
      <c r="O133" t="s">
        <v>389</v>
      </c>
      <c r="P133" t="s">
        <v>43</v>
      </c>
      <c r="Q133" s="1">
        <v>43488</v>
      </c>
      <c r="R133" s="1"/>
      <c r="S133" t="s">
        <v>44</v>
      </c>
      <c r="T133">
        <v>3.1808219178082191</v>
      </c>
      <c r="U133" t="s">
        <v>67</v>
      </c>
      <c r="V133" t="s">
        <v>46</v>
      </c>
      <c r="W133" t="s">
        <v>59</v>
      </c>
      <c r="Y133" t="s">
        <v>49</v>
      </c>
      <c r="Z133" t="s">
        <v>60</v>
      </c>
    </row>
    <row r="134" spans="1:26" x14ac:dyDescent="0.25">
      <c r="A134">
        <v>1026154908</v>
      </c>
      <c r="B134" t="s">
        <v>390</v>
      </c>
      <c r="C134" t="s">
        <v>35</v>
      </c>
      <c r="D134" t="s">
        <v>52</v>
      </c>
      <c r="E134" t="s">
        <v>111</v>
      </c>
      <c r="F134" t="s">
        <v>38</v>
      </c>
      <c r="G134">
        <v>300000</v>
      </c>
      <c r="H134">
        <v>0</v>
      </c>
      <c r="I134">
        <v>1000000</v>
      </c>
      <c r="J134" t="s">
        <v>39</v>
      </c>
      <c r="K134" t="s">
        <v>63</v>
      </c>
      <c r="L134" s="1">
        <v>35157</v>
      </c>
      <c r="M134">
        <v>25</v>
      </c>
      <c r="N134" t="s">
        <v>391</v>
      </c>
      <c r="O134" t="s">
        <v>56</v>
      </c>
      <c r="P134" t="s">
        <v>43</v>
      </c>
      <c r="Q134" s="1">
        <v>44425</v>
      </c>
      <c r="R134" s="1"/>
      <c r="S134" t="s">
        <v>44</v>
      </c>
      <c r="T134">
        <v>0.61369863013698633</v>
      </c>
      <c r="U134" t="s">
        <v>67</v>
      </c>
      <c r="V134" t="s">
        <v>46</v>
      </c>
      <c r="W134" t="s">
        <v>68</v>
      </c>
      <c r="Y134" t="s">
        <v>49</v>
      </c>
      <c r="Z134" t="s">
        <v>69</v>
      </c>
    </row>
    <row r="135" spans="1:26" x14ac:dyDescent="0.25">
      <c r="A135">
        <v>21407265</v>
      </c>
      <c r="B135" t="s">
        <v>392</v>
      </c>
      <c r="C135" t="s">
        <v>35</v>
      </c>
      <c r="D135" t="s">
        <v>52</v>
      </c>
      <c r="E135" t="s">
        <v>393</v>
      </c>
      <c r="F135" t="s">
        <v>38</v>
      </c>
      <c r="G135">
        <v>2350000</v>
      </c>
      <c r="H135">
        <v>0</v>
      </c>
      <c r="I135">
        <v>2350000</v>
      </c>
      <c r="J135" t="s">
        <v>39</v>
      </c>
      <c r="K135" t="s">
        <v>40</v>
      </c>
      <c r="L135" s="1">
        <v>23175</v>
      </c>
      <c r="M135">
        <v>58</v>
      </c>
      <c r="N135" t="s">
        <v>394</v>
      </c>
      <c r="O135" t="s">
        <v>38</v>
      </c>
      <c r="P135" t="s">
        <v>43</v>
      </c>
      <c r="Q135" s="1">
        <v>40888</v>
      </c>
      <c r="R135" s="1"/>
      <c r="S135" t="s">
        <v>44</v>
      </c>
      <c r="T135">
        <v>-112.02191780821917</v>
      </c>
      <c r="U135" t="s">
        <v>67</v>
      </c>
      <c r="V135" t="s">
        <v>82</v>
      </c>
      <c r="W135" t="s">
        <v>47</v>
      </c>
      <c r="X135" t="s">
        <v>48</v>
      </c>
      <c r="Y135" t="s">
        <v>49</v>
      </c>
      <c r="Z135" t="s">
        <v>50</v>
      </c>
    </row>
    <row r="136" spans="1:26" x14ac:dyDescent="0.25">
      <c r="A136">
        <v>1000919275</v>
      </c>
      <c r="B136" t="s">
        <v>395</v>
      </c>
      <c r="C136" t="s">
        <v>35</v>
      </c>
      <c r="D136" t="s">
        <v>52</v>
      </c>
      <c r="E136" t="s">
        <v>216</v>
      </c>
      <c r="F136" t="s">
        <v>38</v>
      </c>
      <c r="G136">
        <v>454263</v>
      </c>
      <c r="H136">
        <v>0</v>
      </c>
      <c r="I136">
        <v>1000000</v>
      </c>
      <c r="J136" t="s">
        <v>39</v>
      </c>
      <c r="K136" t="s">
        <v>396</v>
      </c>
      <c r="L136" s="1">
        <v>37467</v>
      </c>
      <c r="M136">
        <v>19</v>
      </c>
      <c r="N136" t="s">
        <v>397</v>
      </c>
      <c r="O136" t="s">
        <v>56</v>
      </c>
      <c r="P136" t="s">
        <v>57</v>
      </c>
      <c r="Q136" s="1">
        <v>43941</v>
      </c>
      <c r="R136" s="1"/>
      <c r="S136" t="s">
        <v>111</v>
      </c>
      <c r="T136">
        <v>1.9397260273972603</v>
      </c>
      <c r="U136" t="s">
        <v>67</v>
      </c>
      <c r="V136" t="s">
        <v>46</v>
      </c>
      <c r="W136" t="s">
        <v>68</v>
      </c>
      <c r="Y136" t="s">
        <v>49</v>
      </c>
      <c r="Z136" t="s">
        <v>69</v>
      </c>
    </row>
    <row r="137" spans="1:26" x14ac:dyDescent="0.25">
      <c r="A137">
        <v>1042772330</v>
      </c>
      <c r="B137" t="s">
        <v>398</v>
      </c>
      <c r="C137" t="s">
        <v>35</v>
      </c>
      <c r="D137" t="s">
        <v>36</v>
      </c>
      <c r="E137" t="s">
        <v>37</v>
      </c>
      <c r="F137" t="s">
        <v>62</v>
      </c>
      <c r="G137">
        <v>908526</v>
      </c>
      <c r="H137">
        <v>168800</v>
      </c>
      <c r="I137">
        <v>1183780</v>
      </c>
      <c r="J137" t="s">
        <v>86</v>
      </c>
      <c r="K137" t="s">
        <v>112</v>
      </c>
      <c r="L137" s="1">
        <v>34576</v>
      </c>
      <c r="M137">
        <v>27</v>
      </c>
      <c r="N137" t="s">
        <v>399</v>
      </c>
      <c r="O137" t="s">
        <v>65</v>
      </c>
      <c r="P137" t="s">
        <v>57</v>
      </c>
      <c r="Q137" s="1">
        <v>44053</v>
      </c>
      <c r="R137" s="1">
        <v>44443</v>
      </c>
      <c r="S137" t="s">
        <v>44</v>
      </c>
      <c r="T137">
        <v>1.0684931506849316</v>
      </c>
      <c r="U137" t="s">
        <v>67</v>
      </c>
      <c r="V137" t="s">
        <v>82</v>
      </c>
      <c r="W137" t="s">
        <v>68</v>
      </c>
      <c r="Y137" t="s">
        <v>49</v>
      </c>
      <c r="Z137" t="s">
        <v>69</v>
      </c>
    </row>
    <row r="138" spans="1:26" x14ac:dyDescent="0.25">
      <c r="A138">
        <v>71394460</v>
      </c>
      <c r="B138" t="s">
        <v>400</v>
      </c>
      <c r="C138" t="s">
        <v>74</v>
      </c>
      <c r="D138" t="s">
        <v>36</v>
      </c>
      <c r="E138" t="s">
        <v>99</v>
      </c>
      <c r="F138" t="s">
        <v>38</v>
      </c>
      <c r="G138">
        <v>908526</v>
      </c>
      <c r="H138">
        <v>315000</v>
      </c>
      <c r="I138">
        <v>1329980</v>
      </c>
      <c r="J138" t="s">
        <v>39</v>
      </c>
      <c r="K138" t="s">
        <v>63</v>
      </c>
      <c r="L138" s="1">
        <v>26692</v>
      </c>
      <c r="M138">
        <v>49</v>
      </c>
      <c r="N138" t="s">
        <v>401</v>
      </c>
      <c r="O138" t="s">
        <v>56</v>
      </c>
      <c r="P138" t="s">
        <v>57</v>
      </c>
      <c r="Q138" s="1">
        <v>42042</v>
      </c>
      <c r="R138" s="1"/>
      <c r="S138" t="s">
        <v>44</v>
      </c>
      <c r="T138">
        <v>7.1424657534246574</v>
      </c>
      <c r="U138" t="s">
        <v>120</v>
      </c>
      <c r="V138" t="s">
        <v>46</v>
      </c>
      <c r="W138" t="s">
        <v>59</v>
      </c>
      <c r="X138" t="s">
        <v>48</v>
      </c>
      <c r="Y138" t="s">
        <v>49</v>
      </c>
      <c r="Z138" t="s">
        <v>109</v>
      </c>
    </row>
    <row r="139" spans="1:26" x14ac:dyDescent="0.25">
      <c r="A139">
        <v>1036667324</v>
      </c>
      <c r="B139" t="s">
        <v>402</v>
      </c>
      <c r="C139" t="s">
        <v>74</v>
      </c>
      <c r="D139" t="s">
        <v>94</v>
      </c>
      <c r="E139" t="s">
        <v>403</v>
      </c>
      <c r="F139" t="s">
        <v>79</v>
      </c>
      <c r="G139">
        <v>1400000</v>
      </c>
      <c r="H139">
        <v>0</v>
      </c>
      <c r="I139">
        <v>1400000</v>
      </c>
      <c r="J139" t="s">
        <v>126</v>
      </c>
      <c r="K139" t="s">
        <v>396</v>
      </c>
      <c r="L139" s="1">
        <v>35230</v>
      </c>
      <c r="M139">
        <v>25</v>
      </c>
      <c r="N139" t="s">
        <v>404</v>
      </c>
      <c r="O139" t="s">
        <v>140</v>
      </c>
      <c r="P139" t="s">
        <v>57</v>
      </c>
      <c r="Q139" s="1">
        <v>43501</v>
      </c>
      <c r="R139" s="1"/>
      <c r="S139" t="s">
        <v>44</v>
      </c>
      <c r="T139">
        <v>3.1452054794520548</v>
      </c>
      <c r="U139" t="s">
        <v>67</v>
      </c>
      <c r="V139" t="s">
        <v>46</v>
      </c>
      <c r="W139" t="s">
        <v>68</v>
      </c>
      <c r="Y139" t="s">
        <v>49</v>
      </c>
      <c r="Z139" t="s">
        <v>69</v>
      </c>
    </row>
    <row r="140" spans="1:26" x14ac:dyDescent="0.25">
      <c r="A140">
        <v>1042764838</v>
      </c>
      <c r="B140" t="s">
        <v>405</v>
      </c>
      <c r="C140" t="s">
        <v>74</v>
      </c>
      <c r="D140" t="s">
        <v>36</v>
      </c>
      <c r="E140" t="s">
        <v>200</v>
      </c>
      <c r="F140" t="s">
        <v>62</v>
      </c>
      <c r="G140">
        <v>1300000</v>
      </c>
      <c r="H140">
        <v>200000</v>
      </c>
      <c r="I140">
        <v>1606454</v>
      </c>
      <c r="J140" t="s">
        <v>71</v>
      </c>
      <c r="K140" t="s">
        <v>40</v>
      </c>
      <c r="L140" s="1">
        <v>32172</v>
      </c>
      <c r="M140">
        <v>34</v>
      </c>
      <c r="N140" t="s">
        <v>406</v>
      </c>
      <c r="O140" t="s">
        <v>65</v>
      </c>
      <c r="P140" t="s">
        <v>43</v>
      </c>
      <c r="Q140" s="1">
        <v>43508</v>
      </c>
      <c r="R140" s="1">
        <v>44442</v>
      </c>
      <c r="S140" t="s">
        <v>44</v>
      </c>
      <c r="T140">
        <v>2.558904109589041</v>
      </c>
      <c r="U140" t="s">
        <v>67</v>
      </c>
      <c r="V140" t="s">
        <v>82</v>
      </c>
      <c r="W140" t="s">
        <v>59</v>
      </c>
      <c r="Y140" t="s">
        <v>49</v>
      </c>
      <c r="Z140" t="s">
        <v>60</v>
      </c>
    </row>
    <row r="141" spans="1:26" x14ac:dyDescent="0.25">
      <c r="A141">
        <v>15336939</v>
      </c>
      <c r="B141" t="s">
        <v>407</v>
      </c>
      <c r="C141" t="s">
        <v>35</v>
      </c>
      <c r="D141" t="s">
        <v>36</v>
      </c>
      <c r="E141" t="s">
        <v>37</v>
      </c>
      <c r="F141" t="s">
        <v>79</v>
      </c>
      <c r="G141">
        <v>908526</v>
      </c>
      <c r="H141">
        <v>0</v>
      </c>
      <c r="I141">
        <v>1014980</v>
      </c>
      <c r="J141" t="s">
        <v>71</v>
      </c>
      <c r="K141" t="s">
        <v>63</v>
      </c>
      <c r="L141" s="1">
        <v>25189</v>
      </c>
      <c r="M141">
        <v>53</v>
      </c>
      <c r="N141" t="s">
        <v>284</v>
      </c>
      <c r="O141" t="s">
        <v>56</v>
      </c>
      <c r="P141" t="s">
        <v>57</v>
      </c>
      <c r="Q141" s="1">
        <v>43800</v>
      </c>
      <c r="R141" s="1"/>
      <c r="S141" t="s">
        <v>44</v>
      </c>
      <c r="T141">
        <v>2.3260273972602739</v>
      </c>
      <c r="U141" t="s">
        <v>120</v>
      </c>
      <c r="V141" t="s">
        <v>46</v>
      </c>
      <c r="W141" t="s">
        <v>47</v>
      </c>
      <c r="Y141" t="s">
        <v>49</v>
      </c>
      <c r="Z141" t="s">
        <v>50</v>
      </c>
    </row>
    <row r="142" spans="1:26" x14ac:dyDescent="0.25">
      <c r="A142">
        <v>43873287</v>
      </c>
      <c r="B142" t="s">
        <v>408</v>
      </c>
      <c r="C142" t="s">
        <v>35</v>
      </c>
      <c r="D142" t="s">
        <v>52</v>
      </c>
      <c r="E142" t="s">
        <v>216</v>
      </c>
      <c r="F142" t="s">
        <v>79</v>
      </c>
      <c r="G142">
        <v>1550000</v>
      </c>
      <c r="H142">
        <v>0</v>
      </c>
      <c r="I142">
        <v>1656454</v>
      </c>
      <c r="J142" t="s">
        <v>39</v>
      </c>
      <c r="K142" t="s">
        <v>40</v>
      </c>
      <c r="L142" s="1">
        <v>29594</v>
      </c>
      <c r="M142">
        <v>41</v>
      </c>
      <c r="N142" t="s">
        <v>409</v>
      </c>
      <c r="O142" t="s">
        <v>38</v>
      </c>
      <c r="P142" t="s">
        <v>43</v>
      </c>
      <c r="Q142" s="1">
        <v>40940</v>
      </c>
      <c r="R142" s="1"/>
      <c r="S142" t="s">
        <v>44</v>
      </c>
      <c r="T142">
        <v>10.161643835616438</v>
      </c>
      <c r="U142" t="s">
        <v>67</v>
      </c>
      <c r="V142" t="s">
        <v>46</v>
      </c>
      <c r="W142" t="s">
        <v>59</v>
      </c>
      <c r="Y142" t="s">
        <v>49</v>
      </c>
      <c r="Z142" t="s">
        <v>60</v>
      </c>
    </row>
    <row r="143" spans="1:26" x14ac:dyDescent="0.25">
      <c r="A143">
        <v>1044503753</v>
      </c>
      <c r="B143" t="s">
        <v>410</v>
      </c>
      <c r="C143" t="s">
        <v>35</v>
      </c>
      <c r="D143" t="s">
        <v>36</v>
      </c>
      <c r="E143" t="s">
        <v>37</v>
      </c>
      <c r="F143" t="s">
        <v>62</v>
      </c>
      <c r="G143">
        <v>908526</v>
      </c>
      <c r="H143">
        <v>168800</v>
      </c>
      <c r="I143">
        <v>1183780</v>
      </c>
      <c r="J143" t="s">
        <v>86</v>
      </c>
      <c r="K143" t="s">
        <v>63</v>
      </c>
      <c r="L143" s="1">
        <v>32774</v>
      </c>
      <c r="M143">
        <v>32</v>
      </c>
      <c r="N143" t="s">
        <v>64</v>
      </c>
      <c r="O143" t="s">
        <v>65</v>
      </c>
      <c r="P143" t="s">
        <v>43</v>
      </c>
      <c r="Q143" s="1">
        <v>44025</v>
      </c>
      <c r="R143" s="1"/>
      <c r="S143" t="s">
        <v>44</v>
      </c>
      <c r="T143">
        <v>1.7095890410958905</v>
      </c>
      <c r="U143" t="s">
        <v>67</v>
      </c>
      <c r="V143" t="s">
        <v>46</v>
      </c>
      <c r="W143" t="s">
        <v>59</v>
      </c>
      <c r="Y143" t="s">
        <v>49</v>
      </c>
      <c r="Z143" t="s">
        <v>60</v>
      </c>
    </row>
    <row r="144" spans="1:26" x14ac:dyDescent="0.25">
      <c r="A144">
        <v>1003076660</v>
      </c>
      <c r="B144" t="s">
        <v>411</v>
      </c>
      <c r="C144" t="s">
        <v>35</v>
      </c>
      <c r="D144" t="s">
        <v>52</v>
      </c>
      <c r="E144" t="s">
        <v>111</v>
      </c>
      <c r="F144" t="s">
        <v>79</v>
      </c>
      <c r="G144">
        <v>454263</v>
      </c>
      <c r="H144">
        <v>0</v>
      </c>
      <c r="I144">
        <v>1000000</v>
      </c>
      <c r="J144" t="s">
        <v>158</v>
      </c>
      <c r="L144" s="1">
        <v>36774</v>
      </c>
      <c r="M144">
        <v>21</v>
      </c>
      <c r="N144" t="s">
        <v>412</v>
      </c>
      <c r="O144" t="s">
        <v>38</v>
      </c>
      <c r="P144" t="s">
        <v>57</v>
      </c>
      <c r="Q144" s="1">
        <v>44263</v>
      </c>
      <c r="R144" s="1"/>
      <c r="S144" t="s">
        <v>111</v>
      </c>
      <c r="T144">
        <v>1.0575342465753426</v>
      </c>
      <c r="U144" t="s">
        <v>67</v>
      </c>
      <c r="V144" t="s">
        <v>46</v>
      </c>
      <c r="W144" t="s">
        <v>68</v>
      </c>
      <c r="Y144" t="s">
        <v>49</v>
      </c>
      <c r="Z144" t="s">
        <v>69</v>
      </c>
    </row>
    <row r="145" spans="1:26" x14ac:dyDescent="0.25">
      <c r="A145">
        <v>1026148364</v>
      </c>
      <c r="B145" t="s">
        <v>413</v>
      </c>
      <c r="C145" t="s">
        <v>35</v>
      </c>
      <c r="D145" t="s">
        <v>52</v>
      </c>
      <c r="E145" t="s">
        <v>414</v>
      </c>
      <c r="F145" t="s">
        <v>38</v>
      </c>
      <c r="G145">
        <v>1900000</v>
      </c>
      <c r="H145">
        <v>0</v>
      </c>
      <c r="I145">
        <v>2006454</v>
      </c>
      <c r="J145" t="s">
        <v>39</v>
      </c>
      <c r="K145" t="s">
        <v>63</v>
      </c>
      <c r="L145" s="1">
        <v>34039</v>
      </c>
      <c r="M145">
        <v>29</v>
      </c>
      <c r="N145" t="s">
        <v>415</v>
      </c>
      <c r="O145" t="s">
        <v>56</v>
      </c>
      <c r="P145" t="s">
        <v>43</v>
      </c>
      <c r="Q145" s="1">
        <v>42814</v>
      </c>
      <c r="R145" s="1"/>
      <c r="S145" t="s">
        <v>44</v>
      </c>
      <c r="T145">
        <v>5.0273972602739727</v>
      </c>
      <c r="U145" t="s">
        <v>67</v>
      </c>
      <c r="V145" t="s">
        <v>46</v>
      </c>
      <c r="W145" t="s">
        <v>68</v>
      </c>
      <c r="Y145" t="s">
        <v>49</v>
      </c>
      <c r="Z145" t="s">
        <v>60</v>
      </c>
    </row>
    <row r="146" spans="1:26" x14ac:dyDescent="0.25">
      <c r="A146">
        <v>15335207</v>
      </c>
      <c r="B146" t="s">
        <v>416</v>
      </c>
      <c r="C146" t="s">
        <v>74</v>
      </c>
      <c r="D146" t="s">
        <v>36</v>
      </c>
      <c r="E146" t="s">
        <v>37</v>
      </c>
      <c r="F146" t="s">
        <v>79</v>
      </c>
      <c r="G146">
        <v>1000000</v>
      </c>
      <c r="H146">
        <v>413200</v>
      </c>
      <c r="I146">
        <v>1519654</v>
      </c>
      <c r="J146" t="s">
        <v>39</v>
      </c>
      <c r="K146" t="s">
        <v>63</v>
      </c>
      <c r="L146" s="1">
        <v>24047</v>
      </c>
      <c r="M146">
        <v>56</v>
      </c>
      <c r="N146" t="s">
        <v>417</v>
      </c>
      <c r="O146" t="s">
        <v>56</v>
      </c>
      <c r="P146" t="s">
        <v>57</v>
      </c>
      <c r="Q146" s="1">
        <v>43800</v>
      </c>
      <c r="R146" s="1"/>
      <c r="S146" t="s">
        <v>44</v>
      </c>
      <c r="T146">
        <v>2.3260273972602739</v>
      </c>
      <c r="U146" t="s">
        <v>120</v>
      </c>
      <c r="V146" t="s">
        <v>46</v>
      </c>
      <c r="W146" t="s">
        <v>47</v>
      </c>
      <c r="Y146" t="s">
        <v>49</v>
      </c>
      <c r="Z146" t="s">
        <v>50</v>
      </c>
    </row>
    <row r="147" spans="1:26" x14ac:dyDescent="0.25">
      <c r="A147">
        <v>15326618</v>
      </c>
      <c r="B147" t="s">
        <v>418</v>
      </c>
      <c r="C147" t="s">
        <v>74</v>
      </c>
      <c r="D147" t="s">
        <v>36</v>
      </c>
      <c r="E147" t="s">
        <v>115</v>
      </c>
      <c r="F147" t="s">
        <v>62</v>
      </c>
      <c r="G147">
        <v>1100000</v>
      </c>
      <c r="H147">
        <v>640000</v>
      </c>
      <c r="I147">
        <v>1846454</v>
      </c>
      <c r="J147" t="s">
        <v>39</v>
      </c>
      <c r="K147" t="s">
        <v>40</v>
      </c>
      <c r="L147" s="1">
        <v>26303</v>
      </c>
      <c r="M147">
        <v>50</v>
      </c>
      <c r="N147" t="s">
        <v>419</v>
      </c>
      <c r="O147" t="s">
        <v>65</v>
      </c>
      <c r="P147" t="s">
        <v>57</v>
      </c>
      <c r="Q147" s="1">
        <v>43742</v>
      </c>
      <c r="R147" s="1"/>
      <c r="S147" t="s">
        <v>44</v>
      </c>
      <c r="T147">
        <v>2.484931506849315</v>
      </c>
      <c r="U147" t="s">
        <v>67</v>
      </c>
      <c r="V147" t="s">
        <v>46</v>
      </c>
      <c r="W147" t="s">
        <v>59</v>
      </c>
      <c r="X147" t="s">
        <v>48</v>
      </c>
      <c r="Y147" t="s">
        <v>49</v>
      </c>
      <c r="Z147" t="s">
        <v>109</v>
      </c>
    </row>
    <row r="148" spans="1:26" x14ac:dyDescent="0.25">
      <c r="A148">
        <v>1042066339</v>
      </c>
      <c r="B148" t="s">
        <v>420</v>
      </c>
      <c r="C148" t="s">
        <v>74</v>
      </c>
      <c r="D148" t="s">
        <v>36</v>
      </c>
      <c r="E148" t="s">
        <v>115</v>
      </c>
      <c r="F148" t="s">
        <v>38</v>
      </c>
      <c r="G148">
        <v>908526</v>
      </c>
      <c r="H148">
        <v>215000</v>
      </c>
      <c r="I148">
        <v>1229980</v>
      </c>
      <c r="J148" t="s">
        <v>158</v>
      </c>
      <c r="K148" t="s">
        <v>143</v>
      </c>
      <c r="L148" s="1">
        <v>35710</v>
      </c>
      <c r="M148">
        <v>24</v>
      </c>
      <c r="N148" t="s">
        <v>421</v>
      </c>
      <c r="O148" t="s">
        <v>56</v>
      </c>
      <c r="P148" t="s">
        <v>57</v>
      </c>
      <c r="Q148" s="1">
        <v>44263</v>
      </c>
      <c r="R148" s="1"/>
      <c r="S148" t="s">
        <v>44</v>
      </c>
      <c r="T148">
        <v>1.0575342465753426</v>
      </c>
      <c r="U148" t="s">
        <v>67</v>
      </c>
      <c r="V148" t="s">
        <v>46</v>
      </c>
      <c r="W148" t="s">
        <v>68</v>
      </c>
      <c r="Y148" t="s">
        <v>49</v>
      </c>
      <c r="Z148" t="s">
        <v>69</v>
      </c>
    </row>
    <row r="149" spans="1:26" x14ac:dyDescent="0.25">
      <c r="A149">
        <v>98468431</v>
      </c>
      <c r="B149" t="s">
        <v>422</v>
      </c>
      <c r="C149" t="s">
        <v>74</v>
      </c>
      <c r="D149" t="s">
        <v>36</v>
      </c>
      <c r="E149" t="s">
        <v>115</v>
      </c>
      <c r="F149" t="s">
        <v>62</v>
      </c>
      <c r="G149">
        <v>908526</v>
      </c>
      <c r="H149">
        <v>420000</v>
      </c>
      <c r="I149">
        <v>1434980</v>
      </c>
      <c r="J149" t="s">
        <v>158</v>
      </c>
      <c r="K149" t="s">
        <v>75</v>
      </c>
      <c r="L149" s="1">
        <v>26551</v>
      </c>
      <c r="M149">
        <v>49</v>
      </c>
      <c r="N149" t="s">
        <v>423</v>
      </c>
      <c r="O149" t="s">
        <v>65</v>
      </c>
      <c r="P149" t="s">
        <v>57</v>
      </c>
      <c r="Q149" s="1">
        <v>43267</v>
      </c>
      <c r="R149" s="1"/>
      <c r="S149" t="s">
        <v>44</v>
      </c>
      <c r="T149">
        <v>3.7863013698630139</v>
      </c>
      <c r="U149" t="s">
        <v>67</v>
      </c>
      <c r="V149" t="s">
        <v>46</v>
      </c>
      <c r="W149" t="s">
        <v>59</v>
      </c>
      <c r="X149" t="s">
        <v>48</v>
      </c>
      <c r="Y149" t="s">
        <v>49</v>
      </c>
      <c r="Z149" t="s">
        <v>109</v>
      </c>
    </row>
    <row r="150" spans="1:26" x14ac:dyDescent="0.25">
      <c r="A150">
        <v>43972580</v>
      </c>
      <c r="B150" t="s">
        <v>424</v>
      </c>
      <c r="C150" t="s">
        <v>35</v>
      </c>
      <c r="D150" t="s">
        <v>52</v>
      </c>
      <c r="E150" t="s">
        <v>425</v>
      </c>
      <c r="F150" t="s">
        <v>38</v>
      </c>
      <c r="G150">
        <v>1900000</v>
      </c>
      <c r="H150">
        <v>0</v>
      </c>
      <c r="I150">
        <v>2006454</v>
      </c>
      <c r="J150" t="s">
        <v>39</v>
      </c>
      <c r="K150" t="s">
        <v>40</v>
      </c>
      <c r="L150" s="1">
        <v>30658</v>
      </c>
      <c r="M150">
        <v>38</v>
      </c>
      <c r="N150" t="s">
        <v>426</v>
      </c>
      <c r="O150" t="s">
        <v>56</v>
      </c>
      <c r="P150" t="s">
        <v>57</v>
      </c>
      <c r="Q150" s="1">
        <v>40918</v>
      </c>
      <c r="R150" s="1"/>
      <c r="S150" t="s">
        <v>44</v>
      </c>
      <c r="T150">
        <v>10.221917808219178</v>
      </c>
      <c r="U150" t="s">
        <v>67</v>
      </c>
      <c r="V150" t="s">
        <v>46</v>
      </c>
      <c r="W150" t="s">
        <v>59</v>
      </c>
      <c r="X150" t="s">
        <v>48</v>
      </c>
      <c r="Y150" t="s">
        <v>49</v>
      </c>
      <c r="Z150" t="s">
        <v>60</v>
      </c>
    </row>
    <row r="151" spans="1:26" x14ac:dyDescent="0.25">
      <c r="A151">
        <v>42778085</v>
      </c>
      <c r="B151" t="s">
        <v>427</v>
      </c>
      <c r="C151" t="s">
        <v>35</v>
      </c>
      <c r="D151" t="s">
        <v>94</v>
      </c>
      <c r="E151" t="s">
        <v>428</v>
      </c>
      <c r="F151" t="s">
        <v>79</v>
      </c>
      <c r="G151">
        <v>1800000</v>
      </c>
      <c r="H151">
        <v>0</v>
      </c>
      <c r="I151">
        <v>1800000</v>
      </c>
      <c r="J151" t="s">
        <v>158</v>
      </c>
      <c r="K151" t="s">
        <v>40</v>
      </c>
      <c r="L151" s="1">
        <v>25301</v>
      </c>
      <c r="M151">
        <v>52</v>
      </c>
      <c r="N151" t="s">
        <v>429</v>
      </c>
      <c r="O151" t="s">
        <v>430</v>
      </c>
      <c r="P151" t="s">
        <v>43</v>
      </c>
      <c r="Q151" s="1">
        <v>44067</v>
      </c>
      <c r="R151" s="1"/>
      <c r="S151" t="s">
        <v>44</v>
      </c>
      <c r="T151">
        <v>1.5945205479452054</v>
      </c>
      <c r="U151" t="s">
        <v>67</v>
      </c>
      <c r="V151" t="s">
        <v>46</v>
      </c>
      <c r="W151" t="s">
        <v>47</v>
      </c>
      <c r="Y151" t="s">
        <v>49</v>
      </c>
      <c r="Z151" t="s">
        <v>109</v>
      </c>
    </row>
    <row r="152" spans="1:26" x14ac:dyDescent="0.25">
      <c r="A152">
        <v>1001498601</v>
      </c>
      <c r="B152" t="s">
        <v>431</v>
      </c>
      <c r="C152" t="s">
        <v>74</v>
      </c>
      <c r="D152" t="s">
        <v>36</v>
      </c>
      <c r="E152" t="s">
        <v>37</v>
      </c>
      <c r="F152" t="s">
        <v>38</v>
      </c>
      <c r="G152">
        <v>1200000</v>
      </c>
      <c r="H152">
        <v>80000</v>
      </c>
      <c r="I152">
        <v>1386454</v>
      </c>
      <c r="J152" t="s">
        <v>39</v>
      </c>
      <c r="K152" t="s">
        <v>40</v>
      </c>
      <c r="L152" s="1">
        <v>34952</v>
      </c>
      <c r="M152">
        <v>26</v>
      </c>
      <c r="N152" t="s">
        <v>432</v>
      </c>
      <c r="O152" t="s">
        <v>56</v>
      </c>
      <c r="P152" t="s">
        <v>57</v>
      </c>
      <c r="Q152" s="1">
        <v>43152</v>
      </c>
      <c r="R152" s="1"/>
      <c r="S152" t="s">
        <v>44</v>
      </c>
      <c r="T152">
        <v>4.1013698630136988</v>
      </c>
      <c r="U152" t="s">
        <v>67</v>
      </c>
      <c r="V152" t="s">
        <v>46</v>
      </c>
      <c r="W152" t="s">
        <v>68</v>
      </c>
      <c r="X152" t="s">
        <v>48</v>
      </c>
      <c r="Y152" t="s">
        <v>49</v>
      </c>
      <c r="Z152" t="s">
        <v>69</v>
      </c>
    </row>
    <row r="153" spans="1:26" x14ac:dyDescent="0.25">
      <c r="A153">
        <v>15333086</v>
      </c>
      <c r="B153" t="s">
        <v>433</v>
      </c>
      <c r="C153" t="s">
        <v>74</v>
      </c>
      <c r="D153" t="s">
        <v>36</v>
      </c>
      <c r="E153" t="s">
        <v>37</v>
      </c>
      <c r="F153" t="s">
        <v>79</v>
      </c>
      <c r="G153">
        <v>908526</v>
      </c>
      <c r="H153">
        <v>0</v>
      </c>
      <c r="I153">
        <v>1014980</v>
      </c>
      <c r="J153" t="s">
        <v>86</v>
      </c>
      <c r="K153" t="s">
        <v>40</v>
      </c>
      <c r="L153" s="1">
        <v>21346</v>
      </c>
      <c r="M153">
        <v>63</v>
      </c>
      <c r="N153" t="s">
        <v>386</v>
      </c>
      <c r="O153" t="s">
        <v>56</v>
      </c>
      <c r="P153" t="s">
        <v>57</v>
      </c>
      <c r="Q153" s="1">
        <v>43800</v>
      </c>
      <c r="R153" s="1">
        <v>44474</v>
      </c>
      <c r="S153" t="s">
        <v>44</v>
      </c>
      <c r="T153">
        <v>1.8465753424657534</v>
      </c>
      <c r="U153" t="s">
        <v>120</v>
      </c>
      <c r="V153" t="s">
        <v>82</v>
      </c>
      <c r="W153" t="s">
        <v>47</v>
      </c>
      <c r="Y153" t="s">
        <v>49</v>
      </c>
      <c r="Z153" t="s">
        <v>50</v>
      </c>
    </row>
    <row r="154" spans="1:26" x14ac:dyDescent="0.25">
      <c r="A154">
        <v>8466263</v>
      </c>
      <c r="B154" t="s">
        <v>434</v>
      </c>
      <c r="C154" t="s">
        <v>74</v>
      </c>
      <c r="D154" t="s">
        <v>36</v>
      </c>
      <c r="E154" t="s">
        <v>37</v>
      </c>
      <c r="F154" t="s">
        <v>38</v>
      </c>
      <c r="G154">
        <v>908526</v>
      </c>
      <c r="H154">
        <v>0</v>
      </c>
      <c r="I154">
        <v>1014980</v>
      </c>
      <c r="J154" t="s">
        <v>126</v>
      </c>
      <c r="K154" t="s">
        <v>40</v>
      </c>
      <c r="L154" s="1">
        <v>30915</v>
      </c>
      <c r="M154">
        <v>37</v>
      </c>
      <c r="N154" t="s">
        <v>435</v>
      </c>
      <c r="O154" t="s">
        <v>436</v>
      </c>
      <c r="P154" t="s">
        <v>57</v>
      </c>
      <c r="Q154" s="1">
        <v>44431</v>
      </c>
      <c r="R154" s="1"/>
      <c r="S154" t="s">
        <v>44</v>
      </c>
      <c r="T154">
        <v>-121.72876712328767</v>
      </c>
      <c r="U154" t="s">
        <v>67</v>
      </c>
      <c r="V154" t="s">
        <v>82</v>
      </c>
      <c r="W154" t="s">
        <v>59</v>
      </c>
      <c r="Y154" t="s">
        <v>49</v>
      </c>
      <c r="Z154" t="s">
        <v>60</v>
      </c>
    </row>
    <row r="155" spans="1:26" x14ac:dyDescent="0.25">
      <c r="A155">
        <v>71781629</v>
      </c>
      <c r="B155" t="s">
        <v>437</v>
      </c>
      <c r="C155" t="s">
        <v>74</v>
      </c>
      <c r="D155" t="s">
        <v>52</v>
      </c>
      <c r="E155" t="s">
        <v>438</v>
      </c>
      <c r="F155" t="s">
        <v>38</v>
      </c>
      <c r="G155">
        <v>1300000</v>
      </c>
      <c r="H155">
        <v>0</v>
      </c>
      <c r="I155">
        <v>1406454</v>
      </c>
      <c r="J155" t="s">
        <v>39</v>
      </c>
      <c r="K155" t="s">
        <v>63</v>
      </c>
      <c r="L155" s="1">
        <v>28743</v>
      </c>
      <c r="M155">
        <v>43</v>
      </c>
      <c r="N155" t="s">
        <v>439</v>
      </c>
      <c r="O155" t="s">
        <v>440</v>
      </c>
      <c r="P155" t="s">
        <v>57</v>
      </c>
      <c r="Q155" s="1">
        <v>42377</v>
      </c>
      <c r="R155" s="1"/>
      <c r="S155" t="s">
        <v>44</v>
      </c>
      <c r="T155">
        <v>6.2246575342465755</v>
      </c>
      <c r="U155" t="s">
        <v>67</v>
      </c>
      <c r="V155" t="s">
        <v>46</v>
      </c>
      <c r="W155" t="s">
        <v>59</v>
      </c>
      <c r="X155" t="s">
        <v>48</v>
      </c>
      <c r="Y155" t="s">
        <v>49</v>
      </c>
      <c r="Z155" t="s">
        <v>109</v>
      </c>
    </row>
    <row r="156" spans="1:26" x14ac:dyDescent="0.25">
      <c r="A156">
        <v>3664155</v>
      </c>
      <c r="B156" t="s">
        <v>441</v>
      </c>
      <c r="C156" t="s">
        <v>35</v>
      </c>
      <c r="D156" t="s">
        <v>36</v>
      </c>
      <c r="E156" t="s">
        <v>115</v>
      </c>
      <c r="F156" t="s">
        <v>38</v>
      </c>
      <c r="G156">
        <v>908526</v>
      </c>
      <c r="H156">
        <v>300000</v>
      </c>
      <c r="I156">
        <v>1314980</v>
      </c>
      <c r="J156" t="s">
        <v>39</v>
      </c>
      <c r="K156" t="s">
        <v>75</v>
      </c>
      <c r="L156" s="1">
        <v>31301</v>
      </c>
      <c r="M156">
        <v>36</v>
      </c>
      <c r="N156" t="s">
        <v>442</v>
      </c>
      <c r="O156" t="s">
        <v>65</v>
      </c>
      <c r="P156" t="s">
        <v>57</v>
      </c>
      <c r="Q156" s="1">
        <v>43853</v>
      </c>
      <c r="R156" s="1">
        <v>44336</v>
      </c>
      <c r="S156" t="s">
        <v>44</v>
      </c>
      <c r="T156">
        <v>1.3232876712328767</v>
      </c>
      <c r="U156" t="s">
        <v>67</v>
      </c>
      <c r="V156" t="s">
        <v>82</v>
      </c>
      <c r="W156" t="s">
        <v>59</v>
      </c>
      <c r="Y156" t="s">
        <v>49</v>
      </c>
      <c r="Z156" t="s">
        <v>60</v>
      </c>
    </row>
    <row r="157" spans="1:26" x14ac:dyDescent="0.25">
      <c r="A157">
        <v>1026149804</v>
      </c>
      <c r="B157" t="s">
        <v>443</v>
      </c>
      <c r="C157" t="s">
        <v>35</v>
      </c>
      <c r="D157" t="s">
        <v>52</v>
      </c>
      <c r="E157" t="s">
        <v>444</v>
      </c>
      <c r="F157" t="s">
        <v>38</v>
      </c>
      <c r="G157">
        <v>1400000</v>
      </c>
      <c r="H157">
        <v>0</v>
      </c>
      <c r="I157">
        <v>1506454</v>
      </c>
      <c r="J157" t="s">
        <v>39</v>
      </c>
      <c r="K157" t="s">
        <v>445</v>
      </c>
      <c r="L157" s="1">
        <v>34280</v>
      </c>
      <c r="M157">
        <v>28</v>
      </c>
      <c r="N157" t="s">
        <v>446</v>
      </c>
      <c r="O157" t="s">
        <v>92</v>
      </c>
      <c r="P157" t="s">
        <v>57</v>
      </c>
      <c r="Q157" s="1">
        <v>43573</v>
      </c>
      <c r="R157" s="1"/>
      <c r="S157" t="s">
        <v>44</v>
      </c>
      <c r="T157">
        <v>2.9479452054794519</v>
      </c>
      <c r="U157" t="s">
        <v>67</v>
      </c>
      <c r="V157" t="s">
        <v>46</v>
      </c>
      <c r="W157" t="s">
        <v>68</v>
      </c>
      <c r="Y157" t="s">
        <v>49</v>
      </c>
      <c r="Z157" t="s">
        <v>60</v>
      </c>
    </row>
    <row r="158" spans="1:26" x14ac:dyDescent="0.25">
      <c r="A158">
        <v>71734484</v>
      </c>
      <c r="B158" t="s">
        <v>447</v>
      </c>
      <c r="C158" t="s">
        <v>74</v>
      </c>
      <c r="D158" t="s">
        <v>36</v>
      </c>
      <c r="E158" t="s">
        <v>115</v>
      </c>
      <c r="F158" t="s">
        <v>38</v>
      </c>
      <c r="G158">
        <v>908526</v>
      </c>
      <c r="H158">
        <v>480000</v>
      </c>
      <c r="I158">
        <v>1494980</v>
      </c>
      <c r="J158" t="s">
        <v>448</v>
      </c>
      <c r="K158" t="s">
        <v>40</v>
      </c>
      <c r="L158" s="1">
        <v>26225</v>
      </c>
      <c r="M158">
        <v>50</v>
      </c>
      <c r="N158" t="s">
        <v>449</v>
      </c>
      <c r="O158" t="s">
        <v>38</v>
      </c>
      <c r="P158" t="s">
        <v>57</v>
      </c>
      <c r="Q158" s="1">
        <v>41120</v>
      </c>
      <c r="R158" s="1"/>
      <c r="S158" t="s">
        <v>44</v>
      </c>
      <c r="T158">
        <v>9.668493150684931</v>
      </c>
      <c r="U158" t="s">
        <v>45</v>
      </c>
      <c r="V158" t="s">
        <v>46</v>
      </c>
      <c r="W158" t="s">
        <v>59</v>
      </c>
      <c r="X158" t="s">
        <v>48</v>
      </c>
      <c r="Y158" t="s">
        <v>49</v>
      </c>
      <c r="Z158" t="s">
        <v>109</v>
      </c>
    </row>
    <row r="159" spans="1:26" x14ac:dyDescent="0.25">
      <c r="A159">
        <v>43280280</v>
      </c>
      <c r="B159" t="s">
        <v>450</v>
      </c>
      <c r="C159" t="s">
        <v>35</v>
      </c>
      <c r="D159" t="s">
        <v>52</v>
      </c>
      <c r="E159" t="s">
        <v>216</v>
      </c>
      <c r="F159" t="s">
        <v>38</v>
      </c>
      <c r="G159">
        <v>1200000</v>
      </c>
      <c r="H159">
        <v>0</v>
      </c>
      <c r="I159">
        <v>1306454</v>
      </c>
      <c r="J159" t="s">
        <v>39</v>
      </c>
      <c r="K159" t="s">
        <v>396</v>
      </c>
      <c r="L159" s="1">
        <v>29740</v>
      </c>
      <c r="M159">
        <v>40</v>
      </c>
      <c r="N159" t="s">
        <v>451</v>
      </c>
      <c r="O159" t="s">
        <v>56</v>
      </c>
      <c r="P159" t="s">
        <v>57</v>
      </c>
      <c r="Q159" s="1">
        <v>43488</v>
      </c>
      <c r="R159" s="1"/>
      <c r="S159" t="s">
        <v>111</v>
      </c>
      <c r="T159">
        <v>3.1808219178082191</v>
      </c>
      <c r="U159" t="s">
        <v>67</v>
      </c>
      <c r="V159" t="s">
        <v>46</v>
      </c>
      <c r="W159" t="s">
        <v>59</v>
      </c>
      <c r="Y159" t="s">
        <v>49</v>
      </c>
      <c r="Z159" t="s">
        <v>60</v>
      </c>
    </row>
    <row r="160" spans="1:26" x14ac:dyDescent="0.25">
      <c r="A160">
        <v>15490579</v>
      </c>
      <c r="B160" t="s">
        <v>452</v>
      </c>
      <c r="C160" t="s">
        <v>74</v>
      </c>
      <c r="D160" t="s">
        <v>36</v>
      </c>
      <c r="E160" t="s">
        <v>115</v>
      </c>
      <c r="F160" t="s">
        <v>38</v>
      </c>
      <c r="G160">
        <v>908526</v>
      </c>
      <c r="H160">
        <v>375000</v>
      </c>
      <c r="I160">
        <v>1389980</v>
      </c>
      <c r="J160" t="s">
        <v>39</v>
      </c>
      <c r="K160" t="s">
        <v>40</v>
      </c>
      <c r="L160" s="1">
        <v>30441</v>
      </c>
      <c r="M160">
        <v>38</v>
      </c>
      <c r="N160" t="s">
        <v>453</v>
      </c>
      <c r="O160" t="s">
        <v>56</v>
      </c>
      <c r="P160" t="s">
        <v>57</v>
      </c>
      <c r="Q160" s="1">
        <v>41237</v>
      </c>
      <c r="R160" s="1"/>
      <c r="S160" t="s">
        <v>44</v>
      </c>
      <c r="T160">
        <v>9.3479452054794514</v>
      </c>
      <c r="U160" t="s">
        <v>45</v>
      </c>
      <c r="V160" t="s">
        <v>46</v>
      </c>
      <c r="W160" t="s">
        <v>59</v>
      </c>
      <c r="X160" t="s">
        <v>48</v>
      </c>
      <c r="Y160" t="s">
        <v>49</v>
      </c>
      <c r="Z160" t="s">
        <v>60</v>
      </c>
    </row>
    <row r="161" spans="1:26" x14ac:dyDescent="0.25">
      <c r="A161">
        <v>98567591</v>
      </c>
      <c r="B161" t="s">
        <v>454</v>
      </c>
      <c r="C161" t="s">
        <v>74</v>
      </c>
      <c r="D161" t="s">
        <v>52</v>
      </c>
      <c r="E161" t="s">
        <v>455</v>
      </c>
      <c r="F161" t="s">
        <v>38</v>
      </c>
      <c r="G161">
        <v>4200000</v>
      </c>
      <c r="H161">
        <v>0</v>
      </c>
      <c r="I161">
        <v>4200000</v>
      </c>
      <c r="J161" t="s">
        <v>39</v>
      </c>
      <c r="K161" t="s">
        <v>63</v>
      </c>
      <c r="L161" s="1">
        <v>27604</v>
      </c>
      <c r="M161">
        <v>46</v>
      </c>
      <c r="N161" t="s">
        <v>456</v>
      </c>
      <c r="O161" t="s">
        <v>457</v>
      </c>
      <c r="P161" t="s">
        <v>57</v>
      </c>
      <c r="Q161" s="1">
        <v>43487</v>
      </c>
      <c r="R161" s="1"/>
      <c r="S161" t="s">
        <v>44</v>
      </c>
      <c r="T161">
        <v>3.1835616438356165</v>
      </c>
      <c r="U161" t="s">
        <v>67</v>
      </c>
      <c r="V161" t="s">
        <v>46</v>
      </c>
      <c r="W161" t="s">
        <v>59</v>
      </c>
      <c r="X161" t="s">
        <v>48</v>
      </c>
      <c r="Y161" t="s">
        <v>256</v>
      </c>
      <c r="Z161" t="s">
        <v>109</v>
      </c>
    </row>
    <row r="162" spans="1:26" x14ac:dyDescent="0.25">
      <c r="A162">
        <v>8070116</v>
      </c>
      <c r="B162" t="s">
        <v>458</v>
      </c>
      <c r="C162" t="s">
        <v>74</v>
      </c>
      <c r="D162" t="s">
        <v>36</v>
      </c>
      <c r="E162" t="s">
        <v>115</v>
      </c>
      <c r="F162" t="s">
        <v>38</v>
      </c>
      <c r="G162">
        <v>908526</v>
      </c>
      <c r="H162">
        <v>315000</v>
      </c>
      <c r="I162">
        <v>1329980</v>
      </c>
      <c r="J162" t="s">
        <v>39</v>
      </c>
      <c r="K162" t="s">
        <v>40</v>
      </c>
      <c r="L162" s="1">
        <v>30447</v>
      </c>
      <c r="M162">
        <v>38</v>
      </c>
      <c r="N162" t="s">
        <v>204</v>
      </c>
      <c r="O162" t="s">
        <v>56</v>
      </c>
      <c r="P162" t="s">
        <v>43</v>
      </c>
      <c r="Q162" s="1">
        <v>40585</v>
      </c>
      <c r="R162" s="1"/>
      <c r="S162" t="s">
        <v>44</v>
      </c>
      <c r="T162">
        <v>11.134246575342466</v>
      </c>
      <c r="U162" t="s">
        <v>45</v>
      </c>
      <c r="V162" t="s">
        <v>46</v>
      </c>
      <c r="W162" t="s">
        <v>59</v>
      </c>
      <c r="X162" t="s">
        <v>48</v>
      </c>
      <c r="Y162" t="s">
        <v>49</v>
      </c>
      <c r="Z162" t="s">
        <v>60</v>
      </c>
    </row>
    <row r="163" spans="1:26" x14ac:dyDescent="0.25">
      <c r="A163">
        <v>1001505884</v>
      </c>
      <c r="B163" t="s">
        <v>459</v>
      </c>
      <c r="C163" t="s">
        <v>74</v>
      </c>
      <c r="D163" t="s">
        <v>36</v>
      </c>
      <c r="E163" t="s">
        <v>37</v>
      </c>
      <c r="F163" t="s">
        <v>62</v>
      </c>
      <c r="G163">
        <v>908526</v>
      </c>
      <c r="H163">
        <v>168800</v>
      </c>
      <c r="I163">
        <v>1183780</v>
      </c>
      <c r="J163" t="s">
        <v>158</v>
      </c>
      <c r="K163" t="s">
        <v>143</v>
      </c>
      <c r="L163" s="1">
        <v>36468</v>
      </c>
      <c r="M163">
        <v>22</v>
      </c>
      <c r="N163" t="s">
        <v>154</v>
      </c>
      <c r="O163" t="s">
        <v>65</v>
      </c>
      <c r="P163" t="s">
        <v>57</v>
      </c>
      <c r="Q163" s="1">
        <v>44271</v>
      </c>
      <c r="R163" s="1"/>
      <c r="S163" t="s">
        <v>44</v>
      </c>
      <c r="T163">
        <v>1.0356164383561643</v>
      </c>
      <c r="U163" t="s">
        <v>67</v>
      </c>
      <c r="V163" t="s">
        <v>46</v>
      </c>
      <c r="W163" t="s">
        <v>68</v>
      </c>
      <c r="Y163" t="s">
        <v>49</v>
      </c>
      <c r="Z163" t="s">
        <v>69</v>
      </c>
    </row>
    <row r="164" spans="1:26" x14ac:dyDescent="0.25">
      <c r="A164">
        <v>15339871</v>
      </c>
      <c r="B164" t="s">
        <v>460</v>
      </c>
      <c r="C164" t="s">
        <v>74</v>
      </c>
      <c r="D164" t="s">
        <v>36</v>
      </c>
      <c r="E164" t="s">
        <v>37</v>
      </c>
      <c r="F164" t="s">
        <v>38</v>
      </c>
      <c r="G164">
        <v>908526</v>
      </c>
      <c r="H164">
        <v>0</v>
      </c>
      <c r="I164">
        <v>1014980</v>
      </c>
      <c r="J164" t="s">
        <v>39</v>
      </c>
      <c r="K164" t="s">
        <v>75</v>
      </c>
      <c r="L164" s="1">
        <v>28986</v>
      </c>
      <c r="M164">
        <v>42</v>
      </c>
      <c r="N164" t="s">
        <v>461</v>
      </c>
      <c r="O164" t="s">
        <v>131</v>
      </c>
      <c r="P164" t="s">
        <v>43</v>
      </c>
      <c r="Q164" s="1">
        <v>40550</v>
      </c>
      <c r="R164" s="1"/>
      <c r="S164" t="s">
        <v>44</v>
      </c>
      <c r="T164">
        <v>11.230136986301369</v>
      </c>
      <c r="U164" t="s">
        <v>120</v>
      </c>
      <c r="V164" t="s">
        <v>46</v>
      </c>
      <c r="W164" t="s">
        <v>59</v>
      </c>
      <c r="Y164" t="s">
        <v>49</v>
      </c>
      <c r="Z164" t="s">
        <v>109</v>
      </c>
    </row>
    <row r="165" spans="1:26" x14ac:dyDescent="0.25">
      <c r="A165">
        <v>1001812426</v>
      </c>
      <c r="B165" t="s">
        <v>462</v>
      </c>
      <c r="C165" t="s">
        <v>74</v>
      </c>
      <c r="D165" t="s">
        <v>36</v>
      </c>
      <c r="E165" t="s">
        <v>37</v>
      </c>
      <c r="F165" t="s">
        <v>62</v>
      </c>
      <c r="G165">
        <v>908526</v>
      </c>
      <c r="H165">
        <v>168800</v>
      </c>
      <c r="I165">
        <v>1183780</v>
      </c>
      <c r="J165" t="s">
        <v>86</v>
      </c>
      <c r="K165" t="s">
        <v>72</v>
      </c>
      <c r="L165" s="1">
        <v>37232</v>
      </c>
      <c r="M165">
        <v>20</v>
      </c>
      <c r="N165" t="s">
        <v>463</v>
      </c>
      <c r="O165" t="s">
        <v>65</v>
      </c>
      <c r="P165" t="s">
        <v>57</v>
      </c>
      <c r="Q165" s="1">
        <v>44263</v>
      </c>
      <c r="R165" s="1"/>
      <c r="S165" t="s">
        <v>44</v>
      </c>
      <c r="T165">
        <v>1.0575342465753426</v>
      </c>
      <c r="U165" t="s">
        <v>67</v>
      </c>
      <c r="V165" t="s">
        <v>46</v>
      </c>
      <c r="W165" t="s">
        <v>68</v>
      </c>
      <c r="Y165" t="s">
        <v>49</v>
      </c>
      <c r="Z165" t="s">
        <v>69</v>
      </c>
    </row>
    <row r="166" spans="1:26" x14ac:dyDescent="0.25">
      <c r="A166">
        <v>1001587894</v>
      </c>
      <c r="B166" t="s">
        <v>464</v>
      </c>
      <c r="C166" t="s">
        <v>74</v>
      </c>
      <c r="D166" t="s">
        <v>52</v>
      </c>
      <c r="E166" t="s">
        <v>465</v>
      </c>
      <c r="F166" t="s">
        <v>38</v>
      </c>
      <c r="G166">
        <v>454263</v>
      </c>
      <c r="H166">
        <v>0</v>
      </c>
      <c r="I166">
        <v>1000000</v>
      </c>
      <c r="J166" t="s">
        <v>126</v>
      </c>
      <c r="K166" t="s">
        <v>80</v>
      </c>
      <c r="L166" s="1">
        <v>36954</v>
      </c>
      <c r="M166">
        <v>21</v>
      </c>
      <c r="N166" t="s">
        <v>466</v>
      </c>
      <c r="O166" t="s">
        <v>389</v>
      </c>
      <c r="P166" t="s">
        <v>57</v>
      </c>
      <c r="Q166" s="1">
        <v>44152</v>
      </c>
      <c r="R166" s="1"/>
      <c r="S166" t="s">
        <v>111</v>
      </c>
      <c r="T166">
        <v>1.3616438356164384</v>
      </c>
      <c r="U166" t="s">
        <v>67</v>
      </c>
      <c r="V166" t="s">
        <v>46</v>
      </c>
      <c r="W166" t="s">
        <v>68</v>
      </c>
      <c r="Y166" t="s">
        <v>49</v>
      </c>
      <c r="Z166" t="s">
        <v>69</v>
      </c>
    </row>
    <row r="167" spans="1:26" x14ac:dyDescent="0.25">
      <c r="A167">
        <v>1037602684</v>
      </c>
      <c r="B167" t="s">
        <v>467</v>
      </c>
      <c r="C167" t="s">
        <v>74</v>
      </c>
      <c r="D167" t="s">
        <v>52</v>
      </c>
      <c r="E167" t="s">
        <v>468</v>
      </c>
      <c r="F167" t="s">
        <v>38</v>
      </c>
      <c r="G167">
        <v>7000000</v>
      </c>
      <c r="H167">
        <v>2000000</v>
      </c>
      <c r="I167">
        <v>9000000</v>
      </c>
      <c r="J167" t="s">
        <v>71</v>
      </c>
      <c r="K167" t="s">
        <v>63</v>
      </c>
      <c r="L167" s="1">
        <v>32929</v>
      </c>
      <c r="M167">
        <v>32</v>
      </c>
      <c r="N167" t="s">
        <v>469</v>
      </c>
      <c r="O167" t="s">
        <v>97</v>
      </c>
      <c r="P167" t="s">
        <v>57</v>
      </c>
      <c r="Q167" s="1">
        <v>40765</v>
      </c>
      <c r="R167" s="1"/>
      <c r="S167" t="s">
        <v>44</v>
      </c>
      <c r="T167">
        <v>10.641095890410959</v>
      </c>
      <c r="U167" t="s">
        <v>67</v>
      </c>
      <c r="V167" t="s">
        <v>46</v>
      </c>
      <c r="W167" t="s">
        <v>59</v>
      </c>
      <c r="Y167" t="s">
        <v>470</v>
      </c>
      <c r="Z167" t="s">
        <v>60</v>
      </c>
    </row>
    <row r="168" spans="1:26" x14ac:dyDescent="0.25">
      <c r="A168">
        <v>71394177</v>
      </c>
      <c r="B168" t="s">
        <v>471</v>
      </c>
      <c r="C168" t="s">
        <v>74</v>
      </c>
      <c r="D168" t="s">
        <v>36</v>
      </c>
      <c r="E168" t="s">
        <v>37</v>
      </c>
      <c r="F168" t="s">
        <v>38</v>
      </c>
      <c r="G168">
        <v>908526</v>
      </c>
      <c r="H168">
        <v>315000</v>
      </c>
      <c r="I168">
        <v>1329980</v>
      </c>
      <c r="J168" t="s">
        <v>448</v>
      </c>
      <c r="K168" t="s">
        <v>40</v>
      </c>
      <c r="L168" s="1">
        <v>26617</v>
      </c>
      <c r="M168">
        <v>49</v>
      </c>
      <c r="N168" t="s">
        <v>472</v>
      </c>
      <c r="O168" t="s">
        <v>56</v>
      </c>
      <c r="P168" t="s">
        <v>43</v>
      </c>
      <c r="Q168" s="1">
        <v>43221</v>
      </c>
      <c r="R168" s="1"/>
      <c r="S168" t="s">
        <v>44</v>
      </c>
      <c r="T168">
        <v>3.9123287671232876</v>
      </c>
      <c r="U168" t="s">
        <v>128</v>
      </c>
      <c r="V168" t="s">
        <v>46</v>
      </c>
      <c r="W168" t="s">
        <v>59</v>
      </c>
      <c r="Y168" t="s">
        <v>49</v>
      </c>
      <c r="Z168" t="s">
        <v>109</v>
      </c>
    </row>
    <row r="169" spans="1:26" x14ac:dyDescent="0.25">
      <c r="A169">
        <v>1042775213</v>
      </c>
      <c r="B169" t="s">
        <v>473</v>
      </c>
      <c r="C169" t="s">
        <v>74</v>
      </c>
      <c r="D169" t="s">
        <v>36</v>
      </c>
      <c r="E169" t="s">
        <v>115</v>
      </c>
      <c r="F169" t="s">
        <v>62</v>
      </c>
      <c r="G169">
        <v>908526</v>
      </c>
      <c r="H169">
        <v>300000</v>
      </c>
      <c r="I169">
        <v>1314980</v>
      </c>
      <c r="J169" t="s">
        <v>86</v>
      </c>
      <c r="K169" t="s">
        <v>40</v>
      </c>
      <c r="L169" s="1">
        <v>36285</v>
      </c>
      <c r="M169">
        <v>22</v>
      </c>
      <c r="N169" t="s">
        <v>474</v>
      </c>
      <c r="O169" t="s">
        <v>65</v>
      </c>
      <c r="P169" t="s">
        <v>57</v>
      </c>
      <c r="Q169" s="1">
        <v>43795</v>
      </c>
      <c r="R169" s="1"/>
      <c r="S169" t="s">
        <v>44</v>
      </c>
      <c r="T169">
        <v>2.3397260273972602</v>
      </c>
      <c r="U169" t="s">
        <v>67</v>
      </c>
      <c r="V169" t="s">
        <v>46</v>
      </c>
      <c r="W169" t="s">
        <v>68</v>
      </c>
      <c r="Y169" t="s">
        <v>49</v>
      </c>
      <c r="Z169" t="s">
        <v>69</v>
      </c>
    </row>
    <row r="170" spans="1:26" x14ac:dyDescent="0.25">
      <c r="A170">
        <v>1042768307</v>
      </c>
      <c r="B170" t="s">
        <v>475</v>
      </c>
      <c r="C170" t="s">
        <v>74</v>
      </c>
      <c r="D170" t="s">
        <v>36</v>
      </c>
      <c r="E170" t="s">
        <v>37</v>
      </c>
      <c r="F170" t="s">
        <v>62</v>
      </c>
      <c r="G170">
        <v>908526</v>
      </c>
      <c r="H170">
        <v>360000</v>
      </c>
      <c r="I170">
        <v>1374980</v>
      </c>
      <c r="J170" t="s">
        <v>39</v>
      </c>
      <c r="K170" t="s">
        <v>476</v>
      </c>
      <c r="L170" s="1">
        <v>33095</v>
      </c>
      <c r="M170">
        <v>31</v>
      </c>
      <c r="N170" t="s">
        <v>477</v>
      </c>
      <c r="O170" t="s">
        <v>65</v>
      </c>
      <c r="P170" t="s">
        <v>57</v>
      </c>
      <c r="Q170" s="1">
        <v>44054</v>
      </c>
      <c r="R170" s="1"/>
      <c r="S170" t="s">
        <v>44</v>
      </c>
      <c r="T170">
        <v>1.6301369863013699</v>
      </c>
      <c r="U170" t="s">
        <v>67</v>
      </c>
      <c r="V170" t="s">
        <v>46</v>
      </c>
      <c r="W170" t="s">
        <v>59</v>
      </c>
      <c r="Y170" t="s">
        <v>49</v>
      </c>
      <c r="Z170" t="s">
        <v>60</v>
      </c>
    </row>
    <row r="171" spans="1:26" x14ac:dyDescent="0.25">
      <c r="A171">
        <v>1026155364</v>
      </c>
      <c r="B171" t="s">
        <v>478</v>
      </c>
      <c r="C171" t="s">
        <v>74</v>
      </c>
      <c r="D171" t="s">
        <v>52</v>
      </c>
      <c r="E171" t="s">
        <v>465</v>
      </c>
      <c r="F171" t="s">
        <v>38</v>
      </c>
      <c r="G171">
        <v>1000000</v>
      </c>
      <c r="H171">
        <v>315000</v>
      </c>
      <c r="I171">
        <v>1421454</v>
      </c>
      <c r="J171" t="s">
        <v>39</v>
      </c>
      <c r="K171" t="s">
        <v>63</v>
      </c>
      <c r="L171" s="1">
        <v>35163</v>
      </c>
      <c r="M171">
        <v>25</v>
      </c>
      <c r="N171" t="s">
        <v>479</v>
      </c>
      <c r="O171" t="s">
        <v>56</v>
      </c>
      <c r="P171" t="s">
        <v>57</v>
      </c>
      <c r="Q171" s="1">
        <v>44112</v>
      </c>
      <c r="R171" s="1"/>
      <c r="S171" t="s">
        <v>44</v>
      </c>
      <c r="T171">
        <v>1.4712328767123288</v>
      </c>
      <c r="U171" t="s">
        <v>67</v>
      </c>
      <c r="V171" t="s">
        <v>46</v>
      </c>
      <c r="W171" t="s">
        <v>68</v>
      </c>
      <c r="X171" t="s">
        <v>48</v>
      </c>
      <c r="Y171" t="s">
        <v>49</v>
      </c>
      <c r="Z171" t="s">
        <v>69</v>
      </c>
    </row>
    <row r="172" spans="1:26" x14ac:dyDescent="0.25">
      <c r="A172">
        <v>1042773205</v>
      </c>
      <c r="B172" t="s">
        <v>480</v>
      </c>
      <c r="C172" t="s">
        <v>74</v>
      </c>
      <c r="D172" t="s">
        <v>36</v>
      </c>
      <c r="E172" t="s">
        <v>99</v>
      </c>
      <c r="F172" t="s">
        <v>62</v>
      </c>
      <c r="G172">
        <v>908526</v>
      </c>
      <c r="H172">
        <v>168800</v>
      </c>
      <c r="I172">
        <v>1183780</v>
      </c>
      <c r="J172" t="s">
        <v>39</v>
      </c>
      <c r="K172" t="s">
        <v>72</v>
      </c>
      <c r="L172" s="1">
        <v>35054</v>
      </c>
      <c r="M172">
        <v>26</v>
      </c>
      <c r="N172" t="s">
        <v>481</v>
      </c>
      <c r="O172" t="s">
        <v>65</v>
      </c>
      <c r="P172" t="s">
        <v>43</v>
      </c>
      <c r="Q172" s="1">
        <v>44263</v>
      </c>
      <c r="R172" s="1"/>
      <c r="S172" t="s">
        <v>44</v>
      </c>
      <c r="T172">
        <v>1.0575342465753426</v>
      </c>
      <c r="U172" t="s">
        <v>67</v>
      </c>
      <c r="V172" t="s">
        <v>46</v>
      </c>
      <c r="W172" t="s">
        <v>68</v>
      </c>
      <c r="Y172" t="s">
        <v>49</v>
      </c>
      <c r="Z172" t="s">
        <v>69</v>
      </c>
    </row>
    <row r="173" spans="1:26" x14ac:dyDescent="0.25">
      <c r="A173">
        <v>1042060436</v>
      </c>
      <c r="B173" t="s">
        <v>482</v>
      </c>
      <c r="C173" t="s">
        <v>35</v>
      </c>
      <c r="D173" t="s">
        <v>36</v>
      </c>
      <c r="E173" t="s">
        <v>37</v>
      </c>
      <c r="F173" t="s">
        <v>38</v>
      </c>
      <c r="G173">
        <v>908526</v>
      </c>
      <c r="H173">
        <v>375000</v>
      </c>
      <c r="I173">
        <v>1389980</v>
      </c>
      <c r="J173" t="s">
        <v>39</v>
      </c>
      <c r="K173" t="s">
        <v>40</v>
      </c>
      <c r="L173" s="1">
        <v>31784</v>
      </c>
      <c r="M173">
        <v>35</v>
      </c>
      <c r="N173" t="s">
        <v>483</v>
      </c>
      <c r="O173" t="s">
        <v>131</v>
      </c>
      <c r="P173" t="s">
        <v>43</v>
      </c>
      <c r="Q173" s="1">
        <v>42055</v>
      </c>
      <c r="R173" s="1"/>
      <c r="S173" t="s">
        <v>44</v>
      </c>
      <c r="T173">
        <v>7.1068493150684935</v>
      </c>
      <c r="U173" t="s">
        <v>67</v>
      </c>
      <c r="V173" t="s">
        <v>46</v>
      </c>
      <c r="W173" t="s">
        <v>59</v>
      </c>
      <c r="X173" t="s">
        <v>48</v>
      </c>
      <c r="Y173" t="s">
        <v>49</v>
      </c>
      <c r="Z173" t="s">
        <v>60</v>
      </c>
    </row>
    <row r="174" spans="1:26" x14ac:dyDescent="0.25">
      <c r="A174">
        <v>1000106101</v>
      </c>
      <c r="B174" t="s">
        <v>484</v>
      </c>
      <c r="C174" t="s">
        <v>35</v>
      </c>
      <c r="D174" t="s">
        <v>36</v>
      </c>
      <c r="E174" t="s">
        <v>37</v>
      </c>
      <c r="F174" t="s">
        <v>38</v>
      </c>
      <c r="G174">
        <v>908526</v>
      </c>
      <c r="H174">
        <v>215000</v>
      </c>
      <c r="I174">
        <v>1229980</v>
      </c>
      <c r="J174" t="s">
        <v>86</v>
      </c>
      <c r="K174">
        <v>0</v>
      </c>
      <c r="L174" s="1">
        <v>37537</v>
      </c>
      <c r="M174">
        <v>19</v>
      </c>
      <c r="N174" t="s">
        <v>485</v>
      </c>
      <c r="O174" t="s">
        <v>56</v>
      </c>
      <c r="P174" t="s">
        <v>57</v>
      </c>
      <c r="Q174" s="1">
        <v>44243</v>
      </c>
      <c r="R174" s="1"/>
      <c r="S174" t="s">
        <v>44</v>
      </c>
      <c r="T174">
        <v>1.1123287671232878</v>
      </c>
      <c r="U174" t="s">
        <v>67</v>
      </c>
      <c r="V174" t="s">
        <v>46</v>
      </c>
      <c r="W174" t="s">
        <v>68</v>
      </c>
      <c r="Y174" t="s">
        <v>49</v>
      </c>
      <c r="Z174" t="s">
        <v>69</v>
      </c>
    </row>
    <row r="175" spans="1:26" x14ac:dyDescent="0.25">
      <c r="A175">
        <v>21532731</v>
      </c>
      <c r="B175" t="s">
        <v>486</v>
      </c>
      <c r="C175" t="s">
        <v>35</v>
      </c>
      <c r="D175" t="s">
        <v>52</v>
      </c>
      <c r="E175" t="s">
        <v>365</v>
      </c>
      <c r="F175" t="s">
        <v>38</v>
      </c>
      <c r="G175">
        <v>3500000</v>
      </c>
      <c r="H175">
        <v>0</v>
      </c>
      <c r="I175">
        <v>3500000</v>
      </c>
      <c r="J175" t="s">
        <v>39</v>
      </c>
      <c r="K175" t="s">
        <v>40</v>
      </c>
      <c r="L175" s="1">
        <v>30045</v>
      </c>
      <c r="M175">
        <v>39</v>
      </c>
      <c r="N175" t="s">
        <v>255</v>
      </c>
      <c r="O175" t="s">
        <v>56</v>
      </c>
      <c r="P175" t="s">
        <v>57</v>
      </c>
      <c r="Q175" s="1">
        <v>40330</v>
      </c>
      <c r="R175" s="1"/>
      <c r="S175" t="s">
        <v>44</v>
      </c>
      <c r="T175">
        <v>11.832876712328767</v>
      </c>
      <c r="U175" t="s">
        <v>67</v>
      </c>
      <c r="V175" t="s">
        <v>46</v>
      </c>
      <c r="W175" t="s">
        <v>59</v>
      </c>
      <c r="Y175" t="s">
        <v>256</v>
      </c>
      <c r="Z175" t="s">
        <v>60</v>
      </c>
    </row>
    <row r="176" spans="1:26" x14ac:dyDescent="0.25">
      <c r="A176">
        <v>1044501114</v>
      </c>
      <c r="B176" t="s">
        <v>487</v>
      </c>
      <c r="C176" t="s">
        <v>35</v>
      </c>
      <c r="D176" t="s">
        <v>36</v>
      </c>
      <c r="E176" t="s">
        <v>37</v>
      </c>
      <c r="F176" t="s">
        <v>62</v>
      </c>
      <c r="G176">
        <v>908526</v>
      </c>
      <c r="H176">
        <v>300000</v>
      </c>
      <c r="I176">
        <v>1314980</v>
      </c>
      <c r="J176" t="s">
        <v>39</v>
      </c>
      <c r="K176" t="s">
        <v>63</v>
      </c>
      <c r="L176" s="1">
        <v>31851</v>
      </c>
      <c r="M176">
        <v>35</v>
      </c>
      <c r="N176" t="s">
        <v>488</v>
      </c>
      <c r="O176" t="s">
        <v>489</v>
      </c>
      <c r="P176" t="s">
        <v>43</v>
      </c>
      <c r="Q176" s="1">
        <v>44099</v>
      </c>
      <c r="R176" s="1"/>
      <c r="S176" t="s">
        <v>44</v>
      </c>
      <c r="T176">
        <v>1.5068493150684932</v>
      </c>
      <c r="U176" t="s">
        <v>67</v>
      </c>
      <c r="V176" t="s">
        <v>46</v>
      </c>
      <c r="W176" t="s">
        <v>59</v>
      </c>
      <c r="Y176" t="s">
        <v>49</v>
      </c>
      <c r="Z176" t="s">
        <v>60</v>
      </c>
    </row>
    <row r="177" spans="1:26" x14ac:dyDescent="0.25">
      <c r="A177">
        <v>98630465</v>
      </c>
      <c r="B177" t="s">
        <v>490</v>
      </c>
      <c r="C177" t="s">
        <v>35</v>
      </c>
      <c r="D177" t="s">
        <v>36</v>
      </c>
      <c r="E177" t="s">
        <v>37</v>
      </c>
      <c r="F177" t="s">
        <v>38</v>
      </c>
      <c r="G177">
        <v>908526</v>
      </c>
      <c r="H177">
        <v>255000</v>
      </c>
      <c r="I177">
        <v>1269980</v>
      </c>
      <c r="J177" t="s">
        <v>39</v>
      </c>
      <c r="K177" t="s">
        <v>40</v>
      </c>
      <c r="L177" s="1">
        <v>28406</v>
      </c>
      <c r="M177">
        <v>44</v>
      </c>
      <c r="N177" t="s">
        <v>491</v>
      </c>
      <c r="O177" t="s">
        <v>42</v>
      </c>
      <c r="P177" t="s">
        <v>43</v>
      </c>
      <c r="Q177" s="1">
        <v>40935</v>
      </c>
      <c r="R177" s="1"/>
      <c r="S177" t="s">
        <v>44</v>
      </c>
      <c r="T177">
        <v>10.175342465753424</v>
      </c>
      <c r="U177" t="s">
        <v>120</v>
      </c>
      <c r="V177" t="s">
        <v>46</v>
      </c>
      <c r="W177" t="s">
        <v>59</v>
      </c>
      <c r="X177" t="s">
        <v>48</v>
      </c>
      <c r="Y177" t="s">
        <v>49</v>
      </c>
      <c r="Z177" t="s">
        <v>109</v>
      </c>
    </row>
    <row r="178" spans="1:26" x14ac:dyDescent="0.25">
      <c r="A178">
        <v>1042064908</v>
      </c>
      <c r="B178" t="s">
        <v>492</v>
      </c>
      <c r="C178" t="s">
        <v>74</v>
      </c>
      <c r="D178" t="s">
        <v>36</v>
      </c>
      <c r="E178" t="s">
        <v>37</v>
      </c>
      <c r="F178" t="s">
        <v>38</v>
      </c>
      <c r="G178">
        <v>908526</v>
      </c>
      <c r="H178">
        <v>400000</v>
      </c>
      <c r="I178">
        <v>1414980</v>
      </c>
      <c r="J178" t="s">
        <v>71</v>
      </c>
      <c r="K178" t="s">
        <v>40</v>
      </c>
      <c r="L178" s="1">
        <v>34574</v>
      </c>
      <c r="M178">
        <v>27</v>
      </c>
      <c r="N178" t="s">
        <v>230</v>
      </c>
      <c r="O178" t="s">
        <v>77</v>
      </c>
      <c r="P178" t="s">
        <v>43</v>
      </c>
      <c r="Q178" s="1">
        <v>42557</v>
      </c>
      <c r="R178" s="1"/>
      <c r="S178" t="s">
        <v>44</v>
      </c>
      <c r="T178">
        <v>5.7315068493150685</v>
      </c>
      <c r="U178" t="s">
        <v>128</v>
      </c>
      <c r="V178" t="s">
        <v>46</v>
      </c>
      <c r="W178" t="s">
        <v>68</v>
      </c>
      <c r="X178" t="s">
        <v>48</v>
      </c>
      <c r="Y178" t="s">
        <v>49</v>
      </c>
      <c r="Z178" t="s">
        <v>69</v>
      </c>
    </row>
    <row r="179" spans="1:26" x14ac:dyDescent="0.25">
      <c r="A179">
        <v>15329129</v>
      </c>
      <c r="B179" t="s">
        <v>493</v>
      </c>
      <c r="C179" t="s">
        <v>74</v>
      </c>
      <c r="D179" t="s">
        <v>36</v>
      </c>
      <c r="E179" t="s">
        <v>115</v>
      </c>
      <c r="F179" t="s">
        <v>62</v>
      </c>
      <c r="G179">
        <v>908526</v>
      </c>
      <c r="H179">
        <v>420000</v>
      </c>
      <c r="I179">
        <v>1434980</v>
      </c>
      <c r="J179" t="s">
        <v>158</v>
      </c>
      <c r="K179" t="s">
        <v>63</v>
      </c>
      <c r="L179" s="1">
        <v>28172</v>
      </c>
      <c r="M179">
        <v>45</v>
      </c>
      <c r="N179" t="s">
        <v>494</v>
      </c>
      <c r="O179" t="s">
        <v>65</v>
      </c>
      <c r="P179" t="s">
        <v>57</v>
      </c>
      <c r="Q179" s="1">
        <v>43102</v>
      </c>
      <c r="R179" s="1"/>
      <c r="S179" t="s">
        <v>44</v>
      </c>
      <c r="T179">
        <v>4.2383561643835614</v>
      </c>
      <c r="U179" t="s">
        <v>67</v>
      </c>
      <c r="V179" t="s">
        <v>46</v>
      </c>
      <c r="W179" t="s">
        <v>59</v>
      </c>
      <c r="X179" t="s">
        <v>48</v>
      </c>
      <c r="Y179" t="s">
        <v>49</v>
      </c>
      <c r="Z179" t="s">
        <v>109</v>
      </c>
    </row>
    <row r="180" spans="1:26" x14ac:dyDescent="0.25">
      <c r="A180">
        <v>15273622</v>
      </c>
      <c r="B180" t="s">
        <v>495</v>
      </c>
      <c r="C180" t="s">
        <v>74</v>
      </c>
      <c r="D180" t="s">
        <v>36</v>
      </c>
      <c r="E180" t="s">
        <v>37</v>
      </c>
      <c r="F180" t="s">
        <v>62</v>
      </c>
      <c r="G180">
        <v>908526</v>
      </c>
      <c r="H180">
        <v>220000</v>
      </c>
      <c r="I180">
        <v>1234980</v>
      </c>
      <c r="J180" t="s">
        <v>126</v>
      </c>
      <c r="K180" t="s">
        <v>63</v>
      </c>
      <c r="L180" s="1">
        <v>30207</v>
      </c>
      <c r="M180">
        <v>39</v>
      </c>
      <c r="N180" t="s">
        <v>496</v>
      </c>
      <c r="O180" t="s">
        <v>65</v>
      </c>
      <c r="P180" t="s">
        <v>57</v>
      </c>
      <c r="Q180" s="1">
        <v>43848</v>
      </c>
      <c r="R180" s="1"/>
      <c r="S180" t="s">
        <v>44</v>
      </c>
      <c r="T180">
        <v>2.1945205479452055</v>
      </c>
      <c r="U180" t="s">
        <v>67</v>
      </c>
      <c r="V180" t="s">
        <v>46</v>
      </c>
      <c r="W180" t="s">
        <v>59</v>
      </c>
      <c r="Y180" t="s">
        <v>49</v>
      </c>
      <c r="Z180" t="s">
        <v>60</v>
      </c>
    </row>
    <row r="181" spans="1:26" x14ac:dyDescent="0.25">
      <c r="A181">
        <v>71141934</v>
      </c>
      <c r="B181" t="s">
        <v>497</v>
      </c>
      <c r="C181" t="s">
        <v>74</v>
      </c>
      <c r="D181" t="s">
        <v>36</v>
      </c>
      <c r="E181" t="s">
        <v>115</v>
      </c>
      <c r="F181" t="s">
        <v>79</v>
      </c>
      <c r="G181">
        <v>1000000</v>
      </c>
      <c r="H181">
        <v>412000</v>
      </c>
      <c r="I181">
        <v>1518454</v>
      </c>
      <c r="J181" t="s">
        <v>39</v>
      </c>
      <c r="K181" t="s">
        <v>75</v>
      </c>
      <c r="L181" s="1">
        <v>27636</v>
      </c>
      <c r="M181">
        <v>46</v>
      </c>
      <c r="N181" t="s">
        <v>498</v>
      </c>
      <c r="O181" t="s">
        <v>56</v>
      </c>
      <c r="P181" t="s">
        <v>57</v>
      </c>
      <c r="Q181" s="1">
        <v>43800</v>
      </c>
      <c r="R181" s="1"/>
      <c r="S181" t="s">
        <v>44</v>
      </c>
      <c r="T181">
        <v>2.3260273972602739</v>
      </c>
      <c r="U181" t="s">
        <v>120</v>
      </c>
      <c r="V181" t="s">
        <v>46</v>
      </c>
      <c r="W181" t="s">
        <v>59</v>
      </c>
      <c r="Y181" t="s">
        <v>49</v>
      </c>
      <c r="Z181" t="s">
        <v>109</v>
      </c>
    </row>
    <row r="182" spans="1:26" x14ac:dyDescent="0.25">
      <c r="A182">
        <v>1042771465</v>
      </c>
      <c r="B182" t="s">
        <v>499</v>
      </c>
      <c r="C182" t="s">
        <v>74</v>
      </c>
      <c r="D182" t="s">
        <v>36</v>
      </c>
      <c r="E182" t="s">
        <v>115</v>
      </c>
      <c r="F182" t="s">
        <v>62</v>
      </c>
      <c r="G182">
        <v>908526</v>
      </c>
      <c r="H182">
        <v>420000</v>
      </c>
      <c r="I182">
        <v>1434980</v>
      </c>
      <c r="J182" t="s">
        <v>39</v>
      </c>
      <c r="K182" t="s">
        <v>40</v>
      </c>
      <c r="L182" s="1">
        <v>34259</v>
      </c>
      <c r="M182">
        <v>28</v>
      </c>
      <c r="N182" t="s">
        <v>500</v>
      </c>
      <c r="O182" t="s">
        <v>65</v>
      </c>
      <c r="P182" t="s">
        <v>57</v>
      </c>
      <c r="Q182" s="1">
        <v>43853</v>
      </c>
      <c r="R182" s="1">
        <v>44454</v>
      </c>
      <c r="S182" t="s">
        <v>44</v>
      </c>
      <c r="T182">
        <v>1.6465753424657534</v>
      </c>
      <c r="U182" t="s">
        <v>67</v>
      </c>
      <c r="V182" t="s">
        <v>82</v>
      </c>
      <c r="W182" t="s">
        <v>68</v>
      </c>
      <c r="Y182" t="s">
        <v>49</v>
      </c>
      <c r="Z182" t="s">
        <v>60</v>
      </c>
    </row>
    <row r="183" spans="1:26" x14ac:dyDescent="0.25">
      <c r="A183">
        <v>1042764636</v>
      </c>
      <c r="B183" t="s">
        <v>501</v>
      </c>
      <c r="C183" t="s">
        <v>74</v>
      </c>
      <c r="D183" t="s">
        <v>36</v>
      </c>
      <c r="E183" t="s">
        <v>37</v>
      </c>
      <c r="F183" t="s">
        <v>62</v>
      </c>
      <c r="G183">
        <v>908526</v>
      </c>
      <c r="H183">
        <v>168800</v>
      </c>
      <c r="I183">
        <v>1183780</v>
      </c>
      <c r="J183" t="s">
        <v>71</v>
      </c>
      <c r="K183" t="s">
        <v>75</v>
      </c>
      <c r="L183" s="1">
        <v>32044</v>
      </c>
      <c r="M183">
        <v>34</v>
      </c>
      <c r="N183" t="s">
        <v>502</v>
      </c>
      <c r="O183" t="s">
        <v>65</v>
      </c>
      <c r="P183" t="s">
        <v>43</v>
      </c>
      <c r="Q183" s="1">
        <v>44099</v>
      </c>
      <c r="R183" s="1"/>
      <c r="S183" t="s">
        <v>44</v>
      </c>
      <c r="T183">
        <v>1.5068493150684932</v>
      </c>
      <c r="U183" t="s">
        <v>67</v>
      </c>
      <c r="V183" t="s">
        <v>46</v>
      </c>
      <c r="W183" t="s">
        <v>59</v>
      </c>
      <c r="Y183" t="s">
        <v>49</v>
      </c>
      <c r="Z183" t="s">
        <v>60</v>
      </c>
    </row>
    <row r="184" spans="1:26" x14ac:dyDescent="0.25">
      <c r="A184">
        <v>8070107</v>
      </c>
      <c r="B184" t="s">
        <v>503</v>
      </c>
      <c r="C184" t="s">
        <v>35</v>
      </c>
      <c r="D184" t="s">
        <v>36</v>
      </c>
      <c r="E184" t="s">
        <v>115</v>
      </c>
      <c r="F184" t="s">
        <v>38</v>
      </c>
      <c r="G184">
        <v>908526</v>
      </c>
      <c r="H184">
        <v>315000</v>
      </c>
      <c r="I184">
        <v>1329980</v>
      </c>
      <c r="J184" t="s">
        <v>39</v>
      </c>
      <c r="K184" t="s">
        <v>63</v>
      </c>
      <c r="L184" s="1">
        <v>30522</v>
      </c>
      <c r="M184">
        <v>38</v>
      </c>
      <c r="N184" t="s">
        <v>504</v>
      </c>
      <c r="O184" t="s">
        <v>505</v>
      </c>
      <c r="P184" t="s">
        <v>43</v>
      </c>
      <c r="Q184" s="1">
        <v>43857</v>
      </c>
      <c r="R184" s="1"/>
      <c r="S184" t="s">
        <v>44</v>
      </c>
      <c r="T184">
        <v>2.1698630136986301</v>
      </c>
      <c r="U184" t="s">
        <v>120</v>
      </c>
      <c r="V184" t="s">
        <v>46</v>
      </c>
      <c r="W184" t="s">
        <v>59</v>
      </c>
      <c r="X184" t="s">
        <v>48</v>
      </c>
      <c r="Y184" t="s">
        <v>49</v>
      </c>
      <c r="Z184" t="s">
        <v>60</v>
      </c>
    </row>
    <row r="185" spans="1:26" x14ac:dyDescent="0.25">
      <c r="A185">
        <v>1042766140</v>
      </c>
      <c r="B185" t="s">
        <v>506</v>
      </c>
      <c r="C185" t="s">
        <v>74</v>
      </c>
      <c r="D185" t="s">
        <v>36</v>
      </c>
      <c r="E185" t="s">
        <v>37</v>
      </c>
      <c r="F185" t="s">
        <v>62</v>
      </c>
      <c r="G185">
        <v>908526</v>
      </c>
      <c r="H185">
        <v>0</v>
      </c>
      <c r="I185">
        <v>1014980</v>
      </c>
      <c r="J185" t="s">
        <v>39</v>
      </c>
      <c r="K185" t="s">
        <v>63</v>
      </c>
      <c r="L185" s="1">
        <v>32473</v>
      </c>
      <c r="M185">
        <v>33</v>
      </c>
      <c r="N185" t="s">
        <v>507</v>
      </c>
      <c r="O185" t="s">
        <v>65</v>
      </c>
      <c r="P185" t="s">
        <v>57</v>
      </c>
      <c r="Q185" s="1">
        <v>44431</v>
      </c>
      <c r="R185" s="1"/>
      <c r="S185" t="s">
        <v>44</v>
      </c>
      <c r="T185">
        <v>0.59726027397260273</v>
      </c>
      <c r="U185" t="s">
        <v>67</v>
      </c>
      <c r="V185" t="s">
        <v>46</v>
      </c>
      <c r="W185" t="s">
        <v>59</v>
      </c>
      <c r="Y185" t="s">
        <v>49</v>
      </c>
      <c r="Z185" t="s">
        <v>60</v>
      </c>
    </row>
    <row r="186" spans="1:26" x14ac:dyDescent="0.25">
      <c r="A186">
        <v>94463497</v>
      </c>
      <c r="B186" t="s">
        <v>508</v>
      </c>
      <c r="C186" t="s">
        <v>74</v>
      </c>
      <c r="D186" t="s">
        <v>94</v>
      </c>
      <c r="E186" t="s">
        <v>95</v>
      </c>
      <c r="F186" t="s">
        <v>38</v>
      </c>
      <c r="G186">
        <v>908526</v>
      </c>
      <c r="H186">
        <v>0</v>
      </c>
      <c r="I186">
        <v>1000000</v>
      </c>
      <c r="J186" t="s">
        <v>39</v>
      </c>
      <c r="K186" t="s">
        <v>40</v>
      </c>
      <c r="L186" s="1">
        <v>29772</v>
      </c>
      <c r="M186">
        <v>40</v>
      </c>
      <c r="N186" t="s">
        <v>509</v>
      </c>
      <c r="O186" t="s">
        <v>38</v>
      </c>
      <c r="P186" t="s">
        <v>57</v>
      </c>
      <c r="Q186" s="1">
        <v>40534</v>
      </c>
      <c r="R186" s="1"/>
      <c r="S186" t="s">
        <v>44</v>
      </c>
      <c r="T186">
        <v>11.273972602739725</v>
      </c>
      <c r="U186" t="s">
        <v>67</v>
      </c>
      <c r="V186" t="s">
        <v>46</v>
      </c>
      <c r="W186" t="s">
        <v>59</v>
      </c>
      <c r="X186" t="s">
        <v>48</v>
      </c>
      <c r="Y186" t="s">
        <v>49</v>
      </c>
      <c r="Z186" t="s">
        <v>60</v>
      </c>
    </row>
    <row r="187" spans="1:26" x14ac:dyDescent="0.25">
      <c r="A187">
        <v>1044507280</v>
      </c>
      <c r="B187" t="s">
        <v>510</v>
      </c>
      <c r="C187" t="s">
        <v>74</v>
      </c>
      <c r="D187" t="s">
        <v>36</v>
      </c>
      <c r="E187" t="s">
        <v>37</v>
      </c>
      <c r="F187" t="s">
        <v>62</v>
      </c>
      <c r="G187">
        <v>908526</v>
      </c>
      <c r="H187">
        <v>168800</v>
      </c>
      <c r="I187">
        <v>1183780</v>
      </c>
      <c r="J187" t="s">
        <v>39</v>
      </c>
      <c r="K187" t="s">
        <v>40</v>
      </c>
      <c r="L187" s="1">
        <v>34843</v>
      </c>
      <c r="M187">
        <v>26</v>
      </c>
      <c r="N187" t="s">
        <v>511</v>
      </c>
      <c r="O187" t="s">
        <v>65</v>
      </c>
      <c r="P187" t="s">
        <v>57</v>
      </c>
      <c r="Q187" s="1">
        <v>44033</v>
      </c>
      <c r="R187" s="1"/>
      <c r="S187" t="s">
        <v>44</v>
      </c>
      <c r="T187">
        <v>1.6876712328767123</v>
      </c>
      <c r="U187" t="s">
        <v>67</v>
      </c>
      <c r="V187" t="s">
        <v>46</v>
      </c>
      <c r="W187" t="s">
        <v>68</v>
      </c>
      <c r="Y187" t="s">
        <v>49</v>
      </c>
      <c r="Z187" t="s">
        <v>69</v>
      </c>
    </row>
    <row r="188" spans="1:26" x14ac:dyDescent="0.25">
      <c r="A188">
        <v>1026133662</v>
      </c>
      <c r="B188" t="s">
        <v>512</v>
      </c>
      <c r="C188" t="s">
        <v>74</v>
      </c>
      <c r="D188" t="s">
        <v>36</v>
      </c>
      <c r="E188" t="s">
        <v>115</v>
      </c>
      <c r="F188" t="s">
        <v>38</v>
      </c>
      <c r="G188">
        <v>908526</v>
      </c>
      <c r="H188">
        <v>400000</v>
      </c>
      <c r="I188">
        <v>1414980</v>
      </c>
      <c r="J188" t="s">
        <v>39</v>
      </c>
      <c r="K188" t="s">
        <v>40</v>
      </c>
      <c r="L188" s="1">
        <v>32051</v>
      </c>
      <c r="M188">
        <v>34</v>
      </c>
      <c r="N188" t="s">
        <v>513</v>
      </c>
      <c r="O188" t="s">
        <v>56</v>
      </c>
      <c r="P188" t="s">
        <v>43</v>
      </c>
      <c r="Q188" s="1">
        <v>41100</v>
      </c>
      <c r="R188" s="1"/>
      <c r="S188" t="s">
        <v>44</v>
      </c>
      <c r="T188">
        <v>9.7232876712328764</v>
      </c>
      <c r="U188" t="s">
        <v>45</v>
      </c>
      <c r="V188" t="s">
        <v>46</v>
      </c>
      <c r="W188" t="s">
        <v>59</v>
      </c>
      <c r="X188" t="s">
        <v>48</v>
      </c>
      <c r="Y188" t="s">
        <v>49</v>
      </c>
      <c r="Z188" t="s">
        <v>60</v>
      </c>
    </row>
    <row r="189" spans="1:26" x14ac:dyDescent="0.25">
      <c r="A189">
        <v>1026134077</v>
      </c>
      <c r="B189" t="s">
        <v>514</v>
      </c>
      <c r="C189" t="s">
        <v>74</v>
      </c>
      <c r="D189" t="s">
        <v>36</v>
      </c>
      <c r="E189" t="s">
        <v>115</v>
      </c>
      <c r="F189" t="s">
        <v>38</v>
      </c>
      <c r="G189">
        <v>908526</v>
      </c>
      <c r="H189">
        <v>400000</v>
      </c>
      <c r="I189">
        <v>1414980</v>
      </c>
      <c r="J189" t="s">
        <v>39</v>
      </c>
      <c r="K189" t="s">
        <v>40</v>
      </c>
      <c r="L189" s="1">
        <v>32105</v>
      </c>
      <c r="M189">
        <v>34</v>
      </c>
      <c r="N189" t="s">
        <v>515</v>
      </c>
      <c r="O189" t="s">
        <v>56</v>
      </c>
      <c r="P189" t="s">
        <v>57</v>
      </c>
      <c r="Q189" s="1">
        <v>40516</v>
      </c>
      <c r="R189" s="1"/>
      <c r="S189" t="s">
        <v>44</v>
      </c>
      <c r="T189">
        <v>11.323287671232876</v>
      </c>
      <c r="U189" t="s">
        <v>128</v>
      </c>
      <c r="V189" t="s">
        <v>46</v>
      </c>
      <c r="W189" t="s">
        <v>59</v>
      </c>
      <c r="X189" t="s">
        <v>48</v>
      </c>
      <c r="Y189" t="s">
        <v>49</v>
      </c>
      <c r="Z189" t="s">
        <v>60</v>
      </c>
    </row>
    <row r="190" spans="1:26" x14ac:dyDescent="0.25">
      <c r="A190">
        <v>8432947</v>
      </c>
      <c r="B190" t="s">
        <v>516</v>
      </c>
      <c r="C190" t="s">
        <v>74</v>
      </c>
      <c r="D190" t="s">
        <v>104</v>
      </c>
      <c r="E190" t="s">
        <v>517</v>
      </c>
      <c r="F190" t="s">
        <v>38</v>
      </c>
      <c r="G190">
        <v>908526</v>
      </c>
      <c r="H190">
        <v>0</v>
      </c>
      <c r="I190">
        <v>1000000</v>
      </c>
      <c r="J190" t="s">
        <v>39</v>
      </c>
      <c r="K190" t="s">
        <v>40</v>
      </c>
      <c r="L190" s="1">
        <v>29633</v>
      </c>
      <c r="M190">
        <v>41</v>
      </c>
      <c r="N190" t="s">
        <v>518</v>
      </c>
      <c r="O190" t="s">
        <v>38</v>
      </c>
      <c r="P190" t="s">
        <v>43</v>
      </c>
      <c r="Q190" s="1">
        <v>41155</v>
      </c>
      <c r="R190" s="1">
        <v>43692</v>
      </c>
      <c r="S190" t="s">
        <v>44</v>
      </c>
      <c r="T190">
        <v>6.9506849315068493</v>
      </c>
      <c r="U190" t="s">
        <v>67</v>
      </c>
      <c r="V190" t="s">
        <v>82</v>
      </c>
      <c r="W190" t="s">
        <v>59</v>
      </c>
      <c r="Y190" t="s">
        <v>49</v>
      </c>
      <c r="Z190" t="s">
        <v>60</v>
      </c>
    </row>
    <row r="191" spans="1:26" x14ac:dyDescent="0.25">
      <c r="A191">
        <v>15327358</v>
      </c>
      <c r="B191" t="s">
        <v>519</v>
      </c>
      <c r="C191" t="s">
        <v>74</v>
      </c>
      <c r="D191" t="s">
        <v>36</v>
      </c>
      <c r="E191" t="s">
        <v>520</v>
      </c>
      <c r="F191" t="s">
        <v>38</v>
      </c>
      <c r="G191">
        <v>908526</v>
      </c>
      <c r="H191">
        <v>0</v>
      </c>
      <c r="I191">
        <v>1014980</v>
      </c>
      <c r="J191" t="s">
        <v>158</v>
      </c>
      <c r="K191" t="s">
        <v>63</v>
      </c>
      <c r="L191" s="1">
        <v>26905</v>
      </c>
      <c r="M191">
        <v>48</v>
      </c>
      <c r="N191" t="s">
        <v>521</v>
      </c>
      <c r="O191" t="s">
        <v>38</v>
      </c>
      <c r="P191" t="s">
        <v>57</v>
      </c>
      <c r="Q191" s="1">
        <v>44152</v>
      </c>
      <c r="R191" s="1">
        <v>44362</v>
      </c>
      <c r="S191" t="s">
        <v>44</v>
      </c>
      <c r="T191">
        <v>0.57534246575342463</v>
      </c>
      <c r="U191" t="s">
        <v>120</v>
      </c>
      <c r="V191" t="s">
        <v>82</v>
      </c>
      <c r="W191" t="s">
        <v>59</v>
      </c>
      <c r="Y191" t="s">
        <v>49</v>
      </c>
      <c r="Z191" t="s">
        <v>109</v>
      </c>
    </row>
    <row r="192" spans="1:26" x14ac:dyDescent="0.25">
      <c r="A192">
        <v>1026156373</v>
      </c>
      <c r="B192" t="s">
        <v>522</v>
      </c>
      <c r="C192" t="s">
        <v>74</v>
      </c>
      <c r="D192" t="s">
        <v>36</v>
      </c>
      <c r="E192" t="s">
        <v>37</v>
      </c>
      <c r="F192" t="s">
        <v>38</v>
      </c>
      <c r="G192">
        <v>908526</v>
      </c>
      <c r="H192">
        <v>0</v>
      </c>
      <c r="I192">
        <v>1014980</v>
      </c>
      <c r="J192" t="s">
        <v>86</v>
      </c>
      <c r="K192" t="s">
        <v>63</v>
      </c>
      <c r="L192" s="1">
        <v>35295</v>
      </c>
      <c r="M192">
        <v>25</v>
      </c>
      <c r="N192" t="s">
        <v>523</v>
      </c>
      <c r="O192" t="s">
        <v>56</v>
      </c>
      <c r="P192" t="s">
        <v>57</v>
      </c>
      <c r="Q192" s="1">
        <v>44169</v>
      </c>
      <c r="R192" s="1">
        <v>44258</v>
      </c>
      <c r="S192" t="s">
        <v>44</v>
      </c>
      <c r="T192">
        <v>0.24383561643835616</v>
      </c>
      <c r="U192" t="s">
        <v>67</v>
      </c>
      <c r="V192" t="s">
        <v>82</v>
      </c>
      <c r="W192" t="s">
        <v>68</v>
      </c>
      <c r="Y192" t="s">
        <v>49</v>
      </c>
      <c r="Z192" t="s">
        <v>69</v>
      </c>
    </row>
    <row r="193" spans="1:26" x14ac:dyDescent="0.25">
      <c r="A193">
        <v>1017274613</v>
      </c>
      <c r="B193" t="s">
        <v>524</v>
      </c>
      <c r="C193" t="s">
        <v>74</v>
      </c>
      <c r="D193" t="s">
        <v>36</v>
      </c>
      <c r="E193" t="s">
        <v>525</v>
      </c>
      <c r="F193" t="s">
        <v>38</v>
      </c>
      <c r="G193">
        <v>908526</v>
      </c>
      <c r="H193">
        <v>0</v>
      </c>
      <c r="I193">
        <v>1014980</v>
      </c>
      <c r="J193" t="s">
        <v>138</v>
      </c>
      <c r="K193" t="s">
        <v>80</v>
      </c>
      <c r="L193" s="1">
        <v>28358</v>
      </c>
      <c r="M193">
        <v>44</v>
      </c>
      <c r="N193" t="s">
        <v>214</v>
      </c>
      <c r="O193" t="s">
        <v>92</v>
      </c>
      <c r="P193" t="s">
        <v>57</v>
      </c>
      <c r="Q193" s="1">
        <v>44235</v>
      </c>
      <c r="R193" s="1">
        <v>44397</v>
      </c>
      <c r="S193" t="s">
        <v>44</v>
      </c>
      <c r="T193">
        <v>0.44383561643835617</v>
      </c>
      <c r="U193" t="s">
        <v>128</v>
      </c>
      <c r="V193" t="s">
        <v>82</v>
      </c>
      <c r="W193" t="s">
        <v>59</v>
      </c>
      <c r="Y193" t="s">
        <v>49</v>
      </c>
      <c r="Z193" t="s">
        <v>109</v>
      </c>
    </row>
    <row r="194" spans="1:26" x14ac:dyDescent="0.25">
      <c r="A194">
        <v>1042065993</v>
      </c>
      <c r="B194" t="s">
        <v>526</v>
      </c>
      <c r="C194" t="s">
        <v>74</v>
      </c>
      <c r="D194" t="s">
        <v>36</v>
      </c>
      <c r="E194" t="s">
        <v>37</v>
      </c>
      <c r="F194" t="s">
        <v>38</v>
      </c>
      <c r="G194">
        <v>908526</v>
      </c>
      <c r="H194">
        <v>0</v>
      </c>
      <c r="I194">
        <v>1014980</v>
      </c>
      <c r="J194" t="s">
        <v>86</v>
      </c>
      <c r="K194" t="s">
        <v>72</v>
      </c>
      <c r="L194" s="1">
        <v>35420</v>
      </c>
      <c r="M194">
        <v>25</v>
      </c>
      <c r="N194" t="s">
        <v>527</v>
      </c>
      <c r="O194" t="s">
        <v>131</v>
      </c>
      <c r="P194" t="s">
        <v>57</v>
      </c>
      <c r="Q194" s="1">
        <v>44209</v>
      </c>
      <c r="R194" s="1">
        <v>44416</v>
      </c>
      <c r="S194" t="s">
        <v>528</v>
      </c>
      <c r="T194">
        <v>0.56712328767123288</v>
      </c>
      <c r="U194" t="s">
        <v>67</v>
      </c>
      <c r="V194" t="s">
        <v>82</v>
      </c>
      <c r="W194" t="s">
        <v>68</v>
      </c>
      <c r="Y194" t="s">
        <v>49</v>
      </c>
      <c r="Z194" t="s">
        <v>69</v>
      </c>
    </row>
    <row r="195" spans="1:26" x14ac:dyDescent="0.25">
      <c r="A195">
        <v>1001687674</v>
      </c>
      <c r="B195" t="s">
        <v>529</v>
      </c>
      <c r="C195" t="s">
        <v>74</v>
      </c>
      <c r="D195" t="s">
        <v>52</v>
      </c>
      <c r="E195" t="s">
        <v>111</v>
      </c>
      <c r="F195" t="s">
        <v>38</v>
      </c>
      <c r="G195">
        <v>681394</v>
      </c>
      <c r="H195">
        <v>0</v>
      </c>
      <c r="I195">
        <v>1000000</v>
      </c>
      <c r="J195" t="s">
        <v>126</v>
      </c>
      <c r="K195" t="s">
        <v>396</v>
      </c>
      <c r="L195" s="1">
        <v>37306</v>
      </c>
      <c r="M195">
        <v>20</v>
      </c>
      <c r="N195" t="s">
        <v>530</v>
      </c>
      <c r="O195" t="s">
        <v>186</v>
      </c>
      <c r="P195" t="s">
        <v>57</v>
      </c>
      <c r="Q195" s="1">
        <v>44053</v>
      </c>
      <c r="R195" s="1">
        <v>44301</v>
      </c>
      <c r="S195" t="s">
        <v>531</v>
      </c>
      <c r="T195">
        <v>0.67945205479452053</v>
      </c>
      <c r="U195" t="s">
        <v>67</v>
      </c>
      <c r="V195" t="s">
        <v>82</v>
      </c>
      <c r="W195" t="s">
        <v>68</v>
      </c>
      <c r="Y195" t="s">
        <v>49</v>
      </c>
      <c r="Z195" t="s">
        <v>69</v>
      </c>
    </row>
    <row r="196" spans="1:26" x14ac:dyDescent="0.25">
      <c r="A196">
        <v>98602542</v>
      </c>
      <c r="B196" t="s">
        <v>532</v>
      </c>
      <c r="C196" t="s">
        <v>74</v>
      </c>
      <c r="D196" t="s">
        <v>36</v>
      </c>
      <c r="E196" t="s">
        <v>37</v>
      </c>
      <c r="F196" t="s">
        <v>38</v>
      </c>
      <c r="G196">
        <v>908526</v>
      </c>
      <c r="H196">
        <v>0</v>
      </c>
      <c r="I196">
        <v>1014980</v>
      </c>
      <c r="J196" t="s">
        <v>71</v>
      </c>
      <c r="K196" t="s">
        <v>118</v>
      </c>
      <c r="L196" s="1">
        <v>29086</v>
      </c>
      <c r="M196">
        <v>42</v>
      </c>
      <c r="N196" t="s">
        <v>533</v>
      </c>
      <c r="O196" t="s">
        <v>56</v>
      </c>
      <c r="P196" t="s">
        <v>57</v>
      </c>
      <c r="Q196" s="1">
        <v>44169</v>
      </c>
      <c r="R196" s="1">
        <v>44235</v>
      </c>
      <c r="S196" t="s">
        <v>44</v>
      </c>
      <c r="T196">
        <v>0.18082191780821918</v>
      </c>
      <c r="U196" t="s">
        <v>120</v>
      </c>
      <c r="V196" t="s">
        <v>82</v>
      </c>
      <c r="W196" t="s">
        <v>59</v>
      </c>
      <c r="Y196" t="s">
        <v>49</v>
      </c>
      <c r="Z196" t="s">
        <v>109</v>
      </c>
    </row>
    <row r="197" spans="1:26" x14ac:dyDescent="0.25">
      <c r="A197">
        <v>1000535234</v>
      </c>
      <c r="B197" t="s">
        <v>534</v>
      </c>
      <c r="C197" t="s">
        <v>74</v>
      </c>
      <c r="D197" t="s">
        <v>36</v>
      </c>
      <c r="E197" t="s">
        <v>37</v>
      </c>
      <c r="F197" t="s">
        <v>38</v>
      </c>
      <c r="G197">
        <v>1000000</v>
      </c>
      <c r="I197">
        <v>1000000</v>
      </c>
      <c r="J197" t="s">
        <v>86</v>
      </c>
      <c r="K197" t="s">
        <v>143</v>
      </c>
      <c r="L197" s="1">
        <v>37420</v>
      </c>
      <c r="M197">
        <v>19</v>
      </c>
      <c r="N197" t="s">
        <v>535</v>
      </c>
      <c r="O197" t="s">
        <v>92</v>
      </c>
      <c r="P197" t="s">
        <v>57</v>
      </c>
      <c r="Q197" s="1">
        <v>44208</v>
      </c>
      <c r="R197" s="1">
        <v>44398</v>
      </c>
      <c r="S197" t="s">
        <v>528</v>
      </c>
      <c r="T197">
        <v>0.52054794520547942</v>
      </c>
      <c r="U197" t="s">
        <v>128</v>
      </c>
      <c r="V197" t="s">
        <v>82</v>
      </c>
      <c r="W197" t="s">
        <v>68</v>
      </c>
      <c r="Y197" t="s">
        <v>49</v>
      </c>
      <c r="Z197" t="s">
        <v>69</v>
      </c>
    </row>
    <row r="198" spans="1:26" x14ac:dyDescent="0.25">
      <c r="A198">
        <v>32244952</v>
      </c>
      <c r="B198" t="s">
        <v>536</v>
      </c>
      <c r="C198" t="s">
        <v>35</v>
      </c>
      <c r="D198" t="s">
        <v>52</v>
      </c>
      <c r="E198" t="s">
        <v>216</v>
      </c>
      <c r="F198" t="s">
        <v>38</v>
      </c>
      <c r="G198">
        <v>1000000</v>
      </c>
      <c r="H198">
        <v>0</v>
      </c>
      <c r="I198">
        <v>1106454</v>
      </c>
      <c r="J198" t="s">
        <v>39</v>
      </c>
      <c r="K198" t="s">
        <v>63</v>
      </c>
      <c r="L198" s="1">
        <v>30663</v>
      </c>
      <c r="M198">
        <v>38</v>
      </c>
      <c r="N198" t="s">
        <v>537</v>
      </c>
      <c r="O198" t="s">
        <v>97</v>
      </c>
      <c r="P198" t="s">
        <v>57</v>
      </c>
      <c r="Q198" s="1">
        <v>44130</v>
      </c>
      <c r="R198" s="1">
        <v>44315</v>
      </c>
      <c r="S198" t="s">
        <v>44</v>
      </c>
      <c r="T198">
        <v>0.50684931506849318</v>
      </c>
      <c r="U198" t="s">
        <v>67</v>
      </c>
      <c r="V198" t="s">
        <v>82</v>
      </c>
      <c r="W198" t="s">
        <v>59</v>
      </c>
      <c r="Y198" t="s">
        <v>49</v>
      </c>
      <c r="Z198" t="s">
        <v>60</v>
      </c>
    </row>
    <row r="199" spans="1:26" x14ac:dyDescent="0.25">
      <c r="A199">
        <v>1042769052</v>
      </c>
      <c r="B199" t="s">
        <v>538</v>
      </c>
      <c r="C199" t="s">
        <v>74</v>
      </c>
      <c r="D199" t="s">
        <v>36</v>
      </c>
      <c r="E199" t="s">
        <v>37</v>
      </c>
      <c r="F199" t="s">
        <v>62</v>
      </c>
      <c r="G199">
        <v>908526</v>
      </c>
      <c r="H199">
        <v>0</v>
      </c>
      <c r="I199">
        <v>1014980</v>
      </c>
      <c r="J199" t="s">
        <v>86</v>
      </c>
      <c r="K199" t="s">
        <v>112</v>
      </c>
      <c r="L199" s="1">
        <v>33422</v>
      </c>
      <c r="M199">
        <v>30</v>
      </c>
      <c r="N199" t="s">
        <v>539</v>
      </c>
      <c r="O199" t="s">
        <v>65</v>
      </c>
      <c r="P199" t="s">
        <v>57</v>
      </c>
      <c r="Q199" s="1">
        <v>44053</v>
      </c>
      <c r="R199" s="1">
        <v>44270</v>
      </c>
      <c r="S199" t="s">
        <v>44</v>
      </c>
      <c r="T199">
        <v>0.59452054794520548</v>
      </c>
      <c r="U199" t="s">
        <v>67</v>
      </c>
      <c r="V199" t="s">
        <v>82</v>
      </c>
      <c r="W199" t="s">
        <v>68</v>
      </c>
      <c r="Y199" t="s">
        <v>49</v>
      </c>
      <c r="Z199" t="s">
        <v>60</v>
      </c>
    </row>
    <row r="200" spans="1:26" x14ac:dyDescent="0.25">
      <c r="A200">
        <v>98699097</v>
      </c>
      <c r="B200" t="s">
        <v>540</v>
      </c>
      <c r="C200" t="s">
        <v>74</v>
      </c>
      <c r="D200" t="s">
        <v>36</v>
      </c>
      <c r="E200" t="s">
        <v>37</v>
      </c>
      <c r="F200" t="s">
        <v>62</v>
      </c>
      <c r="G200">
        <v>908526</v>
      </c>
      <c r="H200">
        <v>0</v>
      </c>
      <c r="I200">
        <v>1014980</v>
      </c>
      <c r="J200" t="s">
        <v>126</v>
      </c>
      <c r="K200" t="s">
        <v>63</v>
      </c>
      <c r="L200" s="1">
        <v>29538</v>
      </c>
      <c r="M200">
        <v>41</v>
      </c>
      <c r="N200" t="s">
        <v>64</v>
      </c>
      <c r="O200" t="s">
        <v>65</v>
      </c>
      <c r="P200" t="s">
        <v>57</v>
      </c>
      <c r="Q200" s="1">
        <v>43872</v>
      </c>
      <c r="R200" s="1">
        <v>44206</v>
      </c>
      <c r="S200" t="s">
        <v>44</v>
      </c>
      <c r="T200">
        <v>0.91506849315068495</v>
      </c>
      <c r="U200" t="s">
        <v>67</v>
      </c>
      <c r="V200" t="s">
        <v>82</v>
      </c>
      <c r="W200" t="s">
        <v>59</v>
      </c>
      <c r="Y200" t="s">
        <v>49</v>
      </c>
      <c r="Z200" t="s">
        <v>109</v>
      </c>
    </row>
    <row r="201" spans="1:26" x14ac:dyDescent="0.25">
      <c r="A201">
        <v>98514843</v>
      </c>
      <c r="B201" t="s">
        <v>541</v>
      </c>
      <c r="C201" t="s">
        <v>35</v>
      </c>
      <c r="D201" t="s">
        <v>36</v>
      </c>
      <c r="E201" t="s">
        <v>99</v>
      </c>
      <c r="F201" t="s">
        <v>62</v>
      </c>
      <c r="G201">
        <v>908526</v>
      </c>
      <c r="H201">
        <v>0</v>
      </c>
      <c r="I201">
        <v>1014980</v>
      </c>
      <c r="J201" t="s">
        <v>39</v>
      </c>
      <c r="K201" t="s">
        <v>40</v>
      </c>
      <c r="L201" s="1">
        <v>23921</v>
      </c>
      <c r="M201">
        <v>56</v>
      </c>
      <c r="N201" t="s">
        <v>542</v>
      </c>
      <c r="O201" t="s">
        <v>97</v>
      </c>
      <c r="P201" t="s">
        <v>57</v>
      </c>
      <c r="Q201" s="1">
        <v>44090</v>
      </c>
      <c r="R201" s="1">
        <v>44216</v>
      </c>
      <c r="S201" t="s">
        <v>44</v>
      </c>
      <c r="T201">
        <v>0.34520547945205482</v>
      </c>
      <c r="U201" t="s">
        <v>67</v>
      </c>
      <c r="V201" t="s">
        <v>82</v>
      </c>
      <c r="W201" t="s">
        <v>47</v>
      </c>
      <c r="Y201" t="s">
        <v>49</v>
      </c>
      <c r="Z201" t="s">
        <v>50</v>
      </c>
    </row>
    <row r="202" spans="1:26" x14ac:dyDescent="0.25">
      <c r="A202">
        <v>1214739483</v>
      </c>
      <c r="B202" t="s">
        <v>543</v>
      </c>
      <c r="C202" t="s">
        <v>74</v>
      </c>
      <c r="D202" t="s">
        <v>36</v>
      </c>
      <c r="E202" t="s">
        <v>272</v>
      </c>
      <c r="F202" t="s">
        <v>62</v>
      </c>
      <c r="G202">
        <v>908526</v>
      </c>
      <c r="H202">
        <v>0</v>
      </c>
      <c r="I202">
        <v>1014980</v>
      </c>
      <c r="J202" t="s">
        <v>39</v>
      </c>
      <c r="K202" t="s">
        <v>75</v>
      </c>
      <c r="L202" s="1">
        <v>35614</v>
      </c>
      <c r="M202">
        <v>24</v>
      </c>
      <c r="N202" t="s">
        <v>544</v>
      </c>
      <c r="O202" t="s">
        <v>65</v>
      </c>
      <c r="P202" t="s">
        <v>57</v>
      </c>
      <c r="Q202" s="1">
        <v>43781</v>
      </c>
      <c r="R202" s="1">
        <v>44178</v>
      </c>
      <c r="S202" t="s">
        <v>44</v>
      </c>
      <c r="T202">
        <v>1.0876712328767124</v>
      </c>
      <c r="U202" t="s">
        <v>128</v>
      </c>
      <c r="V202" t="s">
        <v>82</v>
      </c>
      <c r="W202" t="s">
        <v>68</v>
      </c>
      <c r="Y202" t="s">
        <v>49</v>
      </c>
      <c r="Z202" t="s">
        <v>69</v>
      </c>
    </row>
    <row r="203" spans="1:26" x14ac:dyDescent="0.25">
      <c r="A203">
        <v>1035237174</v>
      </c>
      <c r="B203" t="s">
        <v>545</v>
      </c>
      <c r="C203" t="s">
        <v>74</v>
      </c>
      <c r="D203" t="s">
        <v>36</v>
      </c>
      <c r="E203" t="s">
        <v>37</v>
      </c>
      <c r="F203" t="s">
        <v>79</v>
      </c>
      <c r="G203">
        <v>908526</v>
      </c>
      <c r="H203">
        <v>0</v>
      </c>
      <c r="I203">
        <v>1014980</v>
      </c>
      <c r="J203" t="s">
        <v>126</v>
      </c>
      <c r="K203" t="s">
        <v>40</v>
      </c>
      <c r="L203" s="1">
        <v>36495</v>
      </c>
      <c r="M203">
        <v>22</v>
      </c>
      <c r="N203" t="s">
        <v>546</v>
      </c>
      <c r="O203" t="s">
        <v>38</v>
      </c>
      <c r="P203" t="s">
        <v>57</v>
      </c>
      <c r="Q203" s="1">
        <v>44209</v>
      </c>
      <c r="R203" s="1">
        <v>44331</v>
      </c>
      <c r="S203" t="s">
        <v>44</v>
      </c>
      <c r="T203">
        <v>0.33424657534246577</v>
      </c>
      <c r="U203" t="s">
        <v>67</v>
      </c>
      <c r="V203" t="s">
        <v>82</v>
      </c>
      <c r="W203" t="s">
        <v>68</v>
      </c>
      <c r="Y203" t="s">
        <v>49</v>
      </c>
      <c r="Z203" t="s">
        <v>69</v>
      </c>
    </row>
    <row r="204" spans="1:26" x14ac:dyDescent="0.25">
      <c r="A204">
        <v>1000870448</v>
      </c>
      <c r="B204" t="s">
        <v>547</v>
      </c>
      <c r="C204" t="s">
        <v>74</v>
      </c>
      <c r="D204" t="s">
        <v>36</v>
      </c>
      <c r="E204" t="s">
        <v>37</v>
      </c>
      <c r="F204" t="s">
        <v>79</v>
      </c>
      <c r="G204">
        <v>1000000</v>
      </c>
      <c r="H204">
        <v>0</v>
      </c>
      <c r="I204">
        <v>1106454</v>
      </c>
      <c r="J204" t="s">
        <v>126</v>
      </c>
      <c r="K204">
        <v>0</v>
      </c>
      <c r="L204" s="1">
        <v>36698</v>
      </c>
      <c r="M204">
        <v>21</v>
      </c>
      <c r="N204" t="s">
        <v>548</v>
      </c>
      <c r="O204" t="s">
        <v>38</v>
      </c>
      <c r="P204" t="s">
        <v>57</v>
      </c>
      <c r="Q204" s="1">
        <v>44202</v>
      </c>
      <c r="R204" s="1">
        <v>44449</v>
      </c>
      <c r="S204" t="s">
        <v>44</v>
      </c>
      <c r="T204">
        <v>0.67671232876712328</v>
      </c>
      <c r="U204" t="s">
        <v>128</v>
      </c>
      <c r="V204" t="s">
        <v>82</v>
      </c>
      <c r="W204" t="s">
        <v>68</v>
      </c>
      <c r="Y204" t="s">
        <v>49</v>
      </c>
      <c r="Z204" t="s">
        <v>69</v>
      </c>
    </row>
    <row r="205" spans="1:26" x14ac:dyDescent="0.25">
      <c r="A205">
        <v>1000438476</v>
      </c>
      <c r="B205" t="s">
        <v>549</v>
      </c>
      <c r="C205" t="s">
        <v>74</v>
      </c>
      <c r="D205" t="s">
        <v>36</v>
      </c>
      <c r="E205" t="s">
        <v>37</v>
      </c>
      <c r="F205" t="s">
        <v>79</v>
      </c>
      <c r="G205">
        <v>908526</v>
      </c>
      <c r="H205">
        <v>0</v>
      </c>
      <c r="I205">
        <v>1014980</v>
      </c>
      <c r="J205" t="s">
        <v>39</v>
      </c>
      <c r="K205" t="s">
        <v>40</v>
      </c>
      <c r="L205" s="1">
        <v>36588</v>
      </c>
      <c r="M205">
        <v>22</v>
      </c>
      <c r="N205" t="s">
        <v>550</v>
      </c>
      <c r="O205" t="s">
        <v>551</v>
      </c>
      <c r="P205" t="s">
        <v>57</v>
      </c>
      <c r="Q205" s="1">
        <v>43351</v>
      </c>
      <c r="R205" s="1">
        <v>44150</v>
      </c>
      <c r="S205" t="s">
        <v>44</v>
      </c>
      <c r="T205">
        <v>2.1890410958904107</v>
      </c>
      <c r="U205" t="s">
        <v>128</v>
      </c>
      <c r="V205" t="s">
        <v>82</v>
      </c>
      <c r="W205" t="s">
        <v>68</v>
      </c>
      <c r="Y205" t="s">
        <v>49</v>
      </c>
      <c r="Z205" t="s">
        <v>69</v>
      </c>
    </row>
    <row r="206" spans="1:26" x14ac:dyDescent="0.25">
      <c r="A206">
        <v>98660394</v>
      </c>
      <c r="B206" t="s">
        <v>552</v>
      </c>
      <c r="C206" t="s">
        <v>74</v>
      </c>
      <c r="D206" t="s">
        <v>52</v>
      </c>
      <c r="E206" t="s">
        <v>308</v>
      </c>
      <c r="F206" t="s">
        <v>38</v>
      </c>
      <c r="G206">
        <v>4000000.0080000004</v>
      </c>
      <c r="H206">
        <v>2000000</v>
      </c>
      <c r="I206">
        <v>4000000</v>
      </c>
      <c r="J206" t="s">
        <v>39</v>
      </c>
      <c r="K206" t="s">
        <v>40</v>
      </c>
      <c r="L206" s="1">
        <v>28071</v>
      </c>
      <c r="M206">
        <v>45</v>
      </c>
      <c r="N206" t="s">
        <v>553</v>
      </c>
      <c r="O206" t="s">
        <v>38</v>
      </c>
      <c r="P206" t="s">
        <v>57</v>
      </c>
      <c r="Q206" s="1">
        <v>40047</v>
      </c>
      <c r="R206" s="1">
        <v>44099</v>
      </c>
      <c r="S206" t="s">
        <v>44</v>
      </c>
      <c r="T206">
        <v>11.101369863013698</v>
      </c>
      <c r="U206" t="s">
        <v>67</v>
      </c>
      <c r="V206" t="s">
        <v>82</v>
      </c>
      <c r="W206" t="s">
        <v>59</v>
      </c>
      <c r="Y206" t="s">
        <v>256</v>
      </c>
      <c r="Z206" t="s">
        <v>109</v>
      </c>
    </row>
    <row r="207" spans="1:26" x14ac:dyDescent="0.25">
      <c r="A207">
        <v>98549609</v>
      </c>
      <c r="B207" t="s">
        <v>554</v>
      </c>
      <c r="C207" t="s">
        <v>74</v>
      </c>
      <c r="D207" t="s">
        <v>36</v>
      </c>
      <c r="E207" t="s">
        <v>184</v>
      </c>
      <c r="F207" t="s">
        <v>38</v>
      </c>
      <c r="G207">
        <v>1200000</v>
      </c>
      <c r="H207">
        <v>0</v>
      </c>
      <c r="I207">
        <v>1329980</v>
      </c>
      <c r="J207" t="s">
        <v>71</v>
      </c>
      <c r="K207" t="s">
        <v>40</v>
      </c>
      <c r="L207" s="1">
        <v>25641</v>
      </c>
      <c r="M207">
        <v>52</v>
      </c>
      <c r="N207" t="s">
        <v>555</v>
      </c>
      <c r="O207" t="s">
        <v>38</v>
      </c>
      <c r="P207" t="s">
        <v>57</v>
      </c>
      <c r="Q207" s="1">
        <v>43724</v>
      </c>
      <c r="R207" s="1">
        <v>44119</v>
      </c>
      <c r="S207" t="s">
        <v>44</v>
      </c>
      <c r="T207">
        <v>1.0821917808219179</v>
      </c>
      <c r="U207" t="s">
        <v>45</v>
      </c>
      <c r="V207" t="s">
        <v>82</v>
      </c>
      <c r="W207" t="s">
        <v>47</v>
      </c>
      <c r="Y207" t="s">
        <v>49</v>
      </c>
      <c r="Z207" t="s">
        <v>109</v>
      </c>
    </row>
    <row r="208" spans="1:26" x14ac:dyDescent="0.25">
      <c r="A208">
        <v>1026139753</v>
      </c>
      <c r="B208" t="s">
        <v>556</v>
      </c>
      <c r="C208" t="s">
        <v>74</v>
      </c>
      <c r="D208" t="s">
        <v>36</v>
      </c>
      <c r="E208" t="s">
        <v>37</v>
      </c>
      <c r="F208" t="s">
        <v>38</v>
      </c>
      <c r="G208">
        <v>908526</v>
      </c>
      <c r="H208">
        <v>0</v>
      </c>
      <c r="I208">
        <v>1269980</v>
      </c>
      <c r="J208" t="s">
        <v>71</v>
      </c>
      <c r="K208" t="s">
        <v>75</v>
      </c>
      <c r="L208" s="1">
        <v>32925</v>
      </c>
      <c r="M208">
        <v>32</v>
      </c>
      <c r="N208" t="s">
        <v>557</v>
      </c>
      <c r="O208" t="s">
        <v>56</v>
      </c>
      <c r="P208" t="s">
        <v>57</v>
      </c>
      <c r="Q208" s="1">
        <v>44112</v>
      </c>
      <c r="R208" s="1">
        <v>44260</v>
      </c>
      <c r="S208" t="s">
        <v>44</v>
      </c>
      <c r="T208">
        <v>0.40547945205479452</v>
      </c>
      <c r="U208" t="s">
        <v>67</v>
      </c>
      <c r="V208" t="s">
        <v>82</v>
      </c>
      <c r="W208" t="s">
        <v>59</v>
      </c>
      <c r="Y208" t="s">
        <v>49</v>
      </c>
      <c r="Z208" t="s">
        <v>60</v>
      </c>
    </row>
    <row r="209" spans="1:26" x14ac:dyDescent="0.25">
      <c r="A209">
        <v>636895</v>
      </c>
      <c r="B209" t="s">
        <v>558</v>
      </c>
      <c r="C209" t="s">
        <v>74</v>
      </c>
      <c r="D209" t="s">
        <v>36</v>
      </c>
      <c r="E209" t="s">
        <v>37</v>
      </c>
      <c r="F209" t="s">
        <v>38</v>
      </c>
      <c r="G209">
        <v>908526</v>
      </c>
      <c r="H209">
        <v>0</v>
      </c>
      <c r="I209">
        <v>1314980</v>
      </c>
      <c r="J209" t="s">
        <v>126</v>
      </c>
      <c r="K209" t="s">
        <v>75</v>
      </c>
      <c r="L209" s="1">
        <v>31600</v>
      </c>
      <c r="M209">
        <v>35</v>
      </c>
      <c r="N209" t="s">
        <v>559</v>
      </c>
      <c r="O209" t="s">
        <v>389</v>
      </c>
      <c r="P209" t="s">
        <v>57</v>
      </c>
      <c r="Q209" s="1">
        <v>43229</v>
      </c>
      <c r="R209" s="1">
        <v>44177</v>
      </c>
      <c r="S209" t="s">
        <v>44</v>
      </c>
      <c r="T209">
        <v>2.5972602739726027</v>
      </c>
      <c r="U209" t="s">
        <v>67</v>
      </c>
      <c r="V209" t="s">
        <v>82</v>
      </c>
      <c r="W209" t="s">
        <v>59</v>
      </c>
      <c r="Y209" t="s">
        <v>49</v>
      </c>
      <c r="Z209" t="s">
        <v>60</v>
      </c>
    </row>
    <row r="210" spans="1:26" x14ac:dyDescent="0.25">
      <c r="A210">
        <v>1152206158</v>
      </c>
      <c r="B210" t="s">
        <v>560</v>
      </c>
      <c r="C210" t="s">
        <v>74</v>
      </c>
      <c r="D210" t="s">
        <v>36</v>
      </c>
      <c r="E210" t="s">
        <v>37</v>
      </c>
      <c r="F210" t="s">
        <v>38</v>
      </c>
      <c r="G210">
        <v>908526</v>
      </c>
      <c r="H210">
        <v>0</v>
      </c>
      <c r="I210">
        <v>1269980</v>
      </c>
      <c r="J210" t="s">
        <v>86</v>
      </c>
      <c r="K210" t="s">
        <v>72</v>
      </c>
      <c r="L210" s="1">
        <v>34607</v>
      </c>
      <c r="M210">
        <v>27</v>
      </c>
      <c r="N210" t="s">
        <v>561</v>
      </c>
      <c r="O210" t="s">
        <v>56</v>
      </c>
      <c r="P210" t="s">
        <v>57</v>
      </c>
      <c r="Q210" s="1">
        <v>44208</v>
      </c>
      <c r="R210" s="1">
        <v>44275</v>
      </c>
      <c r="S210" t="s">
        <v>44</v>
      </c>
      <c r="T210">
        <v>0.18356164383561643</v>
      </c>
      <c r="U210" t="s">
        <v>67</v>
      </c>
      <c r="V210" t="s">
        <v>82</v>
      </c>
      <c r="W210" t="s">
        <v>68</v>
      </c>
      <c r="Y210" t="s">
        <v>49</v>
      </c>
      <c r="Z210" t="s">
        <v>69</v>
      </c>
    </row>
    <row r="211" spans="1:26" x14ac:dyDescent="0.25">
      <c r="A211">
        <v>1007111210</v>
      </c>
      <c r="B211" t="s">
        <v>562</v>
      </c>
      <c r="C211" t="s">
        <v>35</v>
      </c>
      <c r="D211" t="s">
        <v>52</v>
      </c>
      <c r="E211" t="s">
        <v>216</v>
      </c>
      <c r="F211" t="s">
        <v>38</v>
      </c>
      <c r="G211">
        <v>908526</v>
      </c>
      <c r="H211">
        <v>0</v>
      </c>
      <c r="I211">
        <v>1269980</v>
      </c>
      <c r="J211" t="s">
        <v>39</v>
      </c>
      <c r="K211" t="s">
        <v>396</v>
      </c>
      <c r="L211" s="1">
        <v>36916</v>
      </c>
      <c r="M211">
        <v>21</v>
      </c>
      <c r="N211" t="s">
        <v>563</v>
      </c>
      <c r="O211" t="s">
        <v>56</v>
      </c>
      <c r="P211" t="s">
        <v>57</v>
      </c>
      <c r="Q211" s="1">
        <v>43524</v>
      </c>
      <c r="R211" s="1">
        <v>44129</v>
      </c>
      <c r="S211" t="s">
        <v>531</v>
      </c>
      <c r="T211">
        <v>1.6575342465753424</v>
      </c>
      <c r="U211" t="s">
        <v>67</v>
      </c>
      <c r="V211" t="s">
        <v>82</v>
      </c>
      <c r="W211" t="s">
        <v>68</v>
      </c>
      <c r="Y211" t="s">
        <v>49</v>
      </c>
      <c r="Z211" t="s">
        <v>69</v>
      </c>
    </row>
    <row r="212" spans="1:26" x14ac:dyDescent="0.25">
      <c r="A212">
        <v>1035431406</v>
      </c>
      <c r="B212" t="s">
        <v>564</v>
      </c>
      <c r="C212" t="s">
        <v>74</v>
      </c>
      <c r="D212" t="s">
        <v>36</v>
      </c>
      <c r="E212" t="s">
        <v>184</v>
      </c>
      <c r="F212" t="s">
        <v>38</v>
      </c>
      <c r="G212">
        <v>908526</v>
      </c>
      <c r="H212">
        <v>0</v>
      </c>
      <c r="I212">
        <v>1806454</v>
      </c>
      <c r="J212" t="s">
        <v>71</v>
      </c>
      <c r="K212" t="s">
        <v>63</v>
      </c>
      <c r="L212" s="1">
        <v>34470</v>
      </c>
      <c r="M212">
        <v>27</v>
      </c>
      <c r="N212" t="s">
        <v>565</v>
      </c>
      <c r="O212" t="s">
        <v>148</v>
      </c>
      <c r="P212" t="s">
        <v>43</v>
      </c>
      <c r="Q212" s="1">
        <v>44054</v>
      </c>
      <c r="R212" s="1">
        <v>44299</v>
      </c>
      <c r="S212" t="s">
        <v>44</v>
      </c>
      <c r="T212">
        <v>0.67123287671232879</v>
      </c>
      <c r="U212" t="s">
        <v>67</v>
      </c>
      <c r="V212" t="s">
        <v>82</v>
      </c>
      <c r="W212" t="s">
        <v>68</v>
      </c>
      <c r="Y212" t="s">
        <v>49</v>
      </c>
      <c r="Z212" t="s">
        <v>69</v>
      </c>
    </row>
    <row r="213" spans="1:26" x14ac:dyDescent="0.25">
      <c r="A213">
        <v>1037603550</v>
      </c>
      <c r="B213" t="s">
        <v>566</v>
      </c>
      <c r="C213" t="s">
        <v>74</v>
      </c>
      <c r="D213" t="s">
        <v>36</v>
      </c>
      <c r="E213" t="s">
        <v>99</v>
      </c>
      <c r="F213" t="s">
        <v>38</v>
      </c>
      <c r="G213">
        <v>1200000</v>
      </c>
      <c r="H213">
        <v>0</v>
      </c>
      <c r="I213">
        <v>1296980</v>
      </c>
      <c r="J213" t="s">
        <v>39</v>
      </c>
      <c r="K213" t="s">
        <v>396</v>
      </c>
      <c r="L213" s="1">
        <v>32957</v>
      </c>
      <c r="M213">
        <v>32</v>
      </c>
      <c r="N213" t="s">
        <v>567</v>
      </c>
      <c r="O213" t="s">
        <v>38</v>
      </c>
      <c r="P213" t="s">
        <v>43</v>
      </c>
      <c r="Q213" s="1">
        <v>44235</v>
      </c>
      <c r="R213" s="1">
        <v>44402</v>
      </c>
      <c r="S213" t="s">
        <v>44</v>
      </c>
      <c r="T213">
        <v>0.45753424657534247</v>
      </c>
      <c r="U213" t="s">
        <v>67</v>
      </c>
      <c r="V213" t="s">
        <v>82</v>
      </c>
      <c r="W213" t="s">
        <v>59</v>
      </c>
      <c r="Y213" t="s">
        <v>49</v>
      </c>
      <c r="Z213" t="s">
        <v>60</v>
      </c>
    </row>
    <row r="214" spans="1:26" x14ac:dyDescent="0.25">
      <c r="A214">
        <v>1001813349</v>
      </c>
      <c r="B214" t="s">
        <v>568</v>
      </c>
      <c r="C214" t="s">
        <v>74</v>
      </c>
      <c r="D214" t="s">
        <v>36</v>
      </c>
      <c r="E214" t="s">
        <v>37</v>
      </c>
      <c r="F214" t="s">
        <v>62</v>
      </c>
      <c r="G214">
        <v>908526</v>
      </c>
      <c r="H214">
        <v>0</v>
      </c>
      <c r="I214">
        <v>1706454</v>
      </c>
      <c r="J214" t="s">
        <v>86</v>
      </c>
      <c r="K214" t="s">
        <v>75</v>
      </c>
      <c r="L214" s="1">
        <v>37124</v>
      </c>
      <c r="M214">
        <v>20</v>
      </c>
      <c r="N214" t="s">
        <v>64</v>
      </c>
      <c r="O214" t="s">
        <v>65</v>
      </c>
      <c r="P214" t="s">
        <v>57</v>
      </c>
      <c r="Q214" s="1">
        <v>44033</v>
      </c>
      <c r="R214" s="1">
        <v>44353</v>
      </c>
      <c r="S214" t="s">
        <v>44</v>
      </c>
      <c r="T214">
        <v>0.87671232876712324</v>
      </c>
      <c r="U214" t="s">
        <v>67</v>
      </c>
      <c r="V214" t="s">
        <v>82</v>
      </c>
      <c r="W214" t="s">
        <v>68</v>
      </c>
      <c r="Y214" t="s">
        <v>49</v>
      </c>
      <c r="Z214" t="s">
        <v>69</v>
      </c>
    </row>
    <row r="215" spans="1:26" x14ac:dyDescent="0.25">
      <c r="A215">
        <v>1039049833</v>
      </c>
      <c r="B215" t="s">
        <v>569</v>
      </c>
      <c r="C215" t="s">
        <v>74</v>
      </c>
      <c r="D215" t="s">
        <v>36</v>
      </c>
      <c r="E215" t="s">
        <v>37</v>
      </c>
      <c r="F215" t="s">
        <v>38</v>
      </c>
      <c r="G215">
        <v>908526</v>
      </c>
      <c r="H215">
        <v>0</v>
      </c>
      <c r="I215">
        <v>1606454</v>
      </c>
      <c r="J215" t="s">
        <v>39</v>
      </c>
      <c r="K215" t="s">
        <v>63</v>
      </c>
      <c r="L215" s="1">
        <v>35187</v>
      </c>
      <c r="M215">
        <v>25</v>
      </c>
      <c r="N215" t="s">
        <v>230</v>
      </c>
      <c r="O215" t="s">
        <v>77</v>
      </c>
      <c r="P215" t="s">
        <v>57</v>
      </c>
      <c r="Q215" s="1">
        <v>42042</v>
      </c>
      <c r="R215" s="1">
        <v>44175</v>
      </c>
      <c r="S215" t="s">
        <v>44</v>
      </c>
      <c r="T215">
        <v>5.8438356164383558</v>
      </c>
      <c r="U215" t="s">
        <v>128</v>
      </c>
      <c r="V215" t="s">
        <v>82</v>
      </c>
      <c r="W215" t="s">
        <v>68</v>
      </c>
      <c r="Y215" t="s">
        <v>49</v>
      </c>
      <c r="Z215" t="s">
        <v>69</v>
      </c>
    </row>
    <row r="216" spans="1:26" x14ac:dyDescent="0.25">
      <c r="A216">
        <v>1044508416</v>
      </c>
      <c r="B216" t="s">
        <v>570</v>
      </c>
      <c r="C216" t="s">
        <v>74</v>
      </c>
      <c r="D216" t="s">
        <v>36</v>
      </c>
      <c r="E216" t="s">
        <v>37</v>
      </c>
      <c r="F216" t="s">
        <v>62</v>
      </c>
      <c r="G216">
        <v>908526</v>
      </c>
      <c r="H216">
        <v>0</v>
      </c>
      <c r="I216">
        <v>1183780</v>
      </c>
      <c r="J216" t="s">
        <v>158</v>
      </c>
      <c r="K216" t="s">
        <v>112</v>
      </c>
      <c r="L216" s="1">
        <v>35495</v>
      </c>
      <c r="M216">
        <v>25</v>
      </c>
      <c r="N216" t="s">
        <v>64</v>
      </c>
      <c r="O216" t="s">
        <v>65</v>
      </c>
      <c r="P216" t="s">
        <v>57</v>
      </c>
      <c r="Q216" s="1">
        <v>44033</v>
      </c>
      <c r="R216" s="1">
        <v>44150</v>
      </c>
      <c r="S216" t="s">
        <v>44</v>
      </c>
      <c r="T216">
        <v>0.32054794520547947</v>
      </c>
      <c r="U216" t="s">
        <v>67</v>
      </c>
      <c r="V216" t="s">
        <v>82</v>
      </c>
      <c r="W216" t="s">
        <v>68</v>
      </c>
      <c r="Y216" t="s">
        <v>49</v>
      </c>
      <c r="Z216" t="s">
        <v>69</v>
      </c>
    </row>
    <row r="217" spans="1:26" x14ac:dyDescent="0.25">
      <c r="A217">
        <v>1001773382</v>
      </c>
      <c r="B217" t="s">
        <v>571</v>
      </c>
      <c r="C217" t="s">
        <v>74</v>
      </c>
      <c r="D217" t="s">
        <v>36</v>
      </c>
      <c r="E217" t="s">
        <v>37</v>
      </c>
      <c r="F217" t="s">
        <v>62</v>
      </c>
      <c r="G217">
        <v>908526</v>
      </c>
      <c r="H217">
        <v>0</v>
      </c>
      <c r="I217">
        <v>1706454</v>
      </c>
      <c r="J217" t="s">
        <v>86</v>
      </c>
      <c r="K217" t="s">
        <v>40</v>
      </c>
      <c r="L217" s="1">
        <v>37454</v>
      </c>
      <c r="M217">
        <v>19</v>
      </c>
      <c r="N217" t="s">
        <v>572</v>
      </c>
      <c r="O217" t="s">
        <v>65</v>
      </c>
      <c r="P217" t="s">
        <v>57</v>
      </c>
      <c r="Q217" s="1">
        <v>44105</v>
      </c>
      <c r="R217" s="1">
        <v>44258</v>
      </c>
      <c r="S217" t="s">
        <v>44</v>
      </c>
      <c r="T217">
        <v>0.41917808219178082</v>
      </c>
      <c r="U217" t="s">
        <v>67</v>
      </c>
      <c r="V217" t="s">
        <v>82</v>
      </c>
      <c r="W217" t="s">
        <v>68</v>
      </c>
      <c r="Y217" t="s">
        <v>49</v>
      </c>
      <c r="Z217" t="s">
        <v>69</v>
      </c>
    </row>
    <row r="218" spans="1:26" x14ac:dyDescent="0.25">
      <c r="A218">
        <v>1065293745</v>
      </c>
      <c r="B218" t="s">
        <v>573</v>
      </c>
      <c r="C218" t="s">
        <v>74</v>
      </c>
      <c r="D218" t="s">
        <v>36</v>
      </c>
      <c r="E218" t="s">
        <v>37</v>
      </c>
      <c r="F218" t="s">
        <v>38</v>
      </c>
      <c r="G218">
        <v>908526</v>
      </c>
      <c r="H218">
        <v>215000</v>
      </c>
      <c r="I218">
        <v>1183780</v>
      </c>
      <c r="J218" t="s">
        <v>71</v>
      </c>
      <c r="K218" t="s">
        <v>63</v>
      </c>
      <c r="L218" s="1">
        <v>36786</v>
      </c>
      <c r="M218">
        <v>21</v>
      </c>
      <c r="N218" t="s">
        <v>432</v>
      </c>
      <c r="O218" t="s">
        <v>56</v>
      </c>
      <c r="P218" t="s">
        <v>57</v>
      </c>
      <c r="Q218" s="1">
        <v>44071</v>
      </c>
      <c r="R218" s="1">
        <v>44424</v>
      </c>
      <c r="S218" t="s">
        <v>44</v>
      </c>
      <c r="T218">
        <v>0.9671232876712329</v>
      </c>
      <c r="U218" t="s">
        <v>128</v>
      </c>
      <c r="V218" t="s">
        <v>82</v>
      </c>
      <c r="W218" t="s">
        <v>68</v>
      </c>
      <c r="Y218" t="s">
        <v>49</v>
      </c>
      <c r="Z218" t="s">
        <v>69</v>
      </c>
    </row>
    <row r="219" spans="1:26" x14ac:dyDescent="0.25">
      <c r="A219">
        <v>1064316080</v>
      </c>
      <c r="B219" t="s">
        <v>574</v>
      </c>
      <c r="C219" t="s">
        <v>74</v>
      </c>
      <c r="D219" t="s">
        <v>36</v>
      </c>
      <c r="E219" t="s">
        <v>37</v>
      </c>
      <c r="F219" t="s">
        <v>38</v>
      </c>
      <c r="G219">
        <v>908526</v>
      </c>
      <c r="H219">
        <v>255000</v>
      </c>
      <c r="I219">
        <v>1269980</v>
      </c>
      <c r="J219" t="s">
        <v>161</v>
      </c>
      <c r="K219" t="s">
        <v>75</v>
      </c>
      <c r="L219" s="1">
        <v>34770</v>
      </c>
      <c r="M219">
        <v>27</v>
      </c>
      <c r="N219" t="s">
        <v>212</v>
      </c>
      <c r="O219" t="s">
        <v>56</v>
      </c>
      <c r="P219" t="s">
        <v>43</v>
      </c>
      <c r="Q219" s="1">
        <v>44075</v>
      </c>
      <c r="R219" s="1">
        <v>44428</v>
      </c>
      <c r="S219" t="s">
        <v>44</v>
      </c>
      <c r="T219">
        <v>0.9671232876712329</v>
      </c>
      <c r="U219" t="s">
        <v>67</v>
      </c>
      <c r="V219" t="s">
        <v>82</v>
      </c>
      <c r="W219" t="s">
        <v>68</v>
      </c>
      <c r="Y219" t="s">
        <v>49</v>
      </c>
      <c r="Z219" t="s">
        <v>69</v>
      </c>
    </row>
    <row r="220" spans="1:26" x14ac:dyDescent="0.25">
      <c r="A220">
        <v>1026151868</v>
      </c>
      <c r="B220" t="s">
        <v>575</v>
      </c>
      <c r="C220" t="s">
        <v>74</v>
      </c>
      <c r="D220" t="s">
        <v>36</v>
      </c>
      <c r="E220" t="s">
        <v>99</v>
      </c>
      <c r="F220" t="s">
        <v>38</v>
      </c>
      <c r="G220">
        <v>1000000</v>
      </c>
      <c r="H220">
        <v>255000</v>
      </c>
      <c r="I220">
        <v>1361454</v>
      </c>
      <c r="J220" t="s">
        <v>39</v>
      </c>
      <c r="K220" t="s">
        <v>112</v>
      </c>
      <c r="L220" s="1">
        <v>34622</v>
      </c>
      <c r="M220">
        <v>27</v>
      </c>
      <c r="N220" t="s">
        <v>576</v>
      </c>
      <c r="O220" t="s">
        <v>56</v>
      </c>
      <c r="P220" t="s">
        <v>43</v>
      </c>
      <c r="Q220" s="1">
        <v>44013</v>
      </c>
      <c r="R220" s="1">
        <v>44320</v>
      </c>
      <c r="S220" t="s">
        <v>44</v>
      </c>
      <c r="T220">
        <v>0.84109589041095889</v>
      </c>
      <c r="U220" t="s">
        <v>67</v>
      </c>
      <c r="V220" t="s">
        <v>82</v>
      </c>
      <c r="W220" t="s">
        <v>68</v>
      </c>
      <c r="Y220" t="s">
        <v>49</v>
      </c>
      <c r="Z220" t="s">
        <v>69</v>
      </c>
    </row>
    <row r="221" spans="1:26" x14ac:dyDescent="0.25">
      <c r="A221">
        <v>1026161358</v>
      </c>
      <c r="B221" t="s">
        <v>577</v>
      </c>
      <c r="C221" t="s">
        <v>74</v>
      </c>
      <c r="D221" t="s">
        <v>36</v>
      </c>
      <c r="E221" t="s">
        <v>37</v>
      </c>
      <c r="F221" t="s">
        <v>79</v>
      </c>
      <c r="G221">
        <v>908526</v>
      </c>
      <c r="H221">
        <v>0</v>
      </c>
      <c r="I221">
        <v>1000000</v>
      </c>
      <c r="J221" t="s">
        <v>39</v>
      </c>
      <c r="K221" t="s">
        <v>75</v>
      </c>
      <c r="L221" s="1">
        <v>36216</v>
      </c>
      <c r="M221">
        <v>23</v>
      </c>
      <c r="N221" t="s">
        <v>578</v>
      </c>
      <c r="O221" t="s">
        <v>56</v>
      </c>
      <c r="P221" t="s">
        <v>57</v>
      </c>
      <c r="Q221" s="1">
        <v>43800</v>
      </c>
      <c r="R221" s="1">
        <v>44116</v>
      </c>
      <c r="S221" t="s">
        <v>44</v>
      </c>
      <c r="T221">
        <v>0.86575342465753424</v>
      </c>
      <c r="U221" t="s">
        <v>67</v>
      </c>
      <c r="V221" t="s">
        <v>82</v>
      </c>
      <c r="W221" t="s">
        <v>68</v>
      </c>
      <c r="Y221" t="s">
        <v>49</v>
      </c>
      <c r="Z221" t="s">
        <v>69</v>
      </c>
    </row>
    <row r="222" spans="1:26" x14ac:dyDescent="0.25">
      <c r="A222">
        <v>824902126091989</v>
      </c>
      <c r="B222" t="s">
        <v>579</v>
      </c>
      <c r="C222" t="s">
        <v>74</v>
      </c>
      <c r="D222" t="s">
        <v>36</v>
      </c>
      <c r="E222" t="s">
        <v>115</v>
      </c>
      <c r="F222" t="s">
        <v>38</v>
      </c>
      <c r="G222">
        <v>908526</v>
      </c>
      <c r="H222">
        <v>300000</v>
      </c>
      <c r="I222">
        <v>1229980</v>
      </c>
      <c r="J222" t="s">
        <v>39</v>
      </c>
      <c r="K222">
        <v>0</v>
      </c>
      <c r="L222" s="1">
        <v>32777</v>
      </c>
      <c r="M222">
        <v>32</v>
      </c>
      <c r="N222" t="s">
        <v>226</v>
      </c>
      <c r="O222" t="s">
        <v>56</v>
      </c>
      <c r="P222" t="s">
        <v>57</v>
      </c>
      <c r="Q222" s="1">
        <v>44235</v>
      </c>
      <c r="R222" s="1">
        <v>44362</v>
      </c>
      <c r="S222" t="s">
        <v>44</v>
      </c>
      <c r="T222">
        <v>0.34794520547945207</v>
      </c>
      <c r="U222" t="s">
        <v>128</v>
      </c>
      <c r="V222" t="s">
        <v>82</v>
      </c>
      <c r="W222" t="s">
        <v>59</v>
      </c>
      <c r="Y222" t="s">
        <v>49</v>
      </c>
      <c r="Z222" t="s">
        <v>60</v>
      </c>
    </row>
    <row r="223" spans="1:26" x14ac:dyDescent="0.25">
      <c r="A223">
        <v>1026156365</v>
      </c>
      <c r="B223" t="s">
        <v>580</v>
      </c>
      <c r="C223" t="s">
        <v>35</v>
      </c>
      <c r="D223" t="s">
        <v>52</v>
      </c>
      <c r="E223" t="s">
        <v>216</v>
      </c>
      <c r="F223" t="s">
        <v>62</v>
      </c>
      <c r="G223">
        <v>1550000</v>
      </c>
      <c r="H223">
        <v>0</v>
      </c>
      <c r="I223">
        <v>1656454</v>
      </c>
      <c r="J223" t="s">
        <v>39</v>
      </c>
      <c r="K223" t="s">
        <v>40</v>
      </c>
      <c r="L223" s="1">
        <v>35366</v>
      </c>
      <c r="M223">
        <v>25</v>
      </c>
      <c r="N223" t="s">
        <v>581</v>
      </c>
      <c r="O223" t="s">
        <v>56</v>
      </c>
      <c r="P223" t="s">
        <v>57</v>
      </c>
      <c r="Q223" s="1">
        <v>43688</v>
      </c>
      <c r="R223" s="1">
        <v>44085</v>
      </c>
      <c r="S223" t="s">
        <v>44</v>
      </c>
      <c r="T223">
        <v>1.0876712328767124</v>
      </c>
      <c r="U223" t="s">
        <v>67</v>
      </c>
      <c r="V223" t="s">
        <v>82</v>
      </c>
      <c r="W223" t="s">
        <v>68</v>
      </c>
      <c r="Y223" t="s">
        <v>49</v>
      </c>
      <c r="Z223" t="s">
        <v>69</v>
      </c>
    </row>
    <row r="224" spans="1:26" x14ac:dyDescent="0.25">
      <c r="A224">
        <v>71729092</v>
      </c>
      <c r="B224" t="s">
        <v>582</v>
      </c>
      <c r="C224" t="s">
        <v>74</v>
      </c>
      <c r="D224" t="s">
        <v>36</v>
      </c>
      <c r="E224" t="s">
        <v>184</v>
      </c>
      <c r="F224" t="s">
        <v>38</v>
      </c>
      <c r="G224">
        <v>1200000</v>
      </c>
      <c r="H224">
        <v>800000</v>
      </c>
      <c r="I224">
        <v>3000000</v>
      </c>
      <c r="J224" t="s">
        <v>71</v>
      </c>
      <c r="K224" t="s">
        <v>63</v>
      </c>
      <c r="L224" s="1">
        <v>26452</v>
      </c>
      <c r="M224">
        <v>49</v>
      </c>
      <c r="N224" t="s">
        <v>583</v>
      </c>
      <c r="O224" t="s">
        <v>584</v>
      </c>
      <c r="P224" t="s">
        <v>43</v>
      </c>
      <c r="Q224" s="1">
        <v>44306</v>
      </c>
      <c r="R224" s="1">
        <v>44433</v>
      </c>
      <c r="S224" t="s">
        <v>44</v>
      </c>
      <c r="T224">
        <v>0.34794520547945207</v>
      </c>
      <c r="U224" t="s">
        <v>45</v>
      </c>
      <c r="V224" t="s">
        <v>82</v>
      </c>
      <c r="W224" t="s">
        <v>59</v>
      </c>
      <c r="Y224" t="s">
        <v>49</v>
      </c>
      <c r="Z224" t="s">
        <v>109</v>
      </c>
    </row>
    <row r="225" spans="1:26" x14ac:dyDescent="0.25">
      <c r="A225">
        <v>1017129947</v>
      </c>
      <c r="B225" t="s">
        <v>585</v>
      </c>
      <c r="C225" t="s">
        <v>74</v>
      </c>
      <c r="D225" t="s">
        <v>104</v>
      </c>
      <c r="E225" t="s">
        <v>105</v>
      </c>
      <c r="F225" t="s">
        <v>79</v>
      </c>
      <c r="G225">
        <v>2000000</v>
      </c>
      <c r="H225">
        <v>0</v>
      </c>
      <c r="I225">
        <v>1183780</v>
      </c>
      <c r="J225" t="s">
        <v>39</v>
      </c>
      <c r="K225" t="s">
        <v>75</v>
      </c>
      <c r="L225" s="1">
        <v>31423</v>
      </c>
      <c r="M225">
        <v>36</v>
      </c>
      <c r="N225" t="s">
        <v>586</v>
      </c>
      <c r="O225" t="s">
        <v>38</v>
      </c>
      <c r="P225" t="s">
        <v>57</v>
      </c>
      <c r="Q225" s="1">
        <v>44193</v>
      </c>
      <c r="R225" s="1">
        <v>44230</v>
      </c>
      <c r="S225" t="s">
        <v>44</v>
      </c>
      <c r="T225">
        <v>0.10136986301369863</v>
      </c>
      <c r="U225" t="s">
        <v>67</v>
      </c>
      <c r="V225" t="s">
        <v>82</v>
      </c>
      <c r="W225" t="s">
        <v>59</v>
      </c>
      <c r="Y225" t="s">
        <v>49</v>
      </c>
      <c r="Z225" t="s">
        <v>60</v>
      </c>
    </row>
    <row r="226" spans="1:26" x14ac:dyDescent="0.25">
      <c r="A226">
        <v>1055917901</v>
      </c>
      <c r="B226" t="s">
        <v>587</v>
      </c>
      <c r="C226" t="s">
        <v>74</v>
      </c>
      <c r="D226" t="s">
        <v>36</v>
      </c>
      <c r="E226" t="s">
        <v>37</v>
      </c>
      <c r="F226" t="s">
        <v>38</v>
      </c>
      <c r="G226">
        <v>908526</v>
      </c>
      <c r="H226">
        <v>215000</v>
      </c>
      <c r="I226">
        <v>1229980</v>
      </c>
      <c r="J226" t="s">
        <v>39</v>
      </c>
      <c r="K226" t="s">
        <v>75</v>
      </c>
      <c r="L226" s="1">
        <v>33669</v>
      </c>
      <c r="M226">
        <v>30</v>
      </c>
      <c r="N226" t="s">
        <v>374</v>
      </c>
      <c r="O226" t="s">
        <v>56</v>
      </c>
      <c r="P226" t="s">
        <v>43</v>
      </c>
      <c r="Q226" s="1">
        <v>44047</v>
      </c>
      <c r="R226" s="1">
        <v>44387</v>
      </c>
      <c r="S226" t="s">
        <v>44</v>
      </c>
      <c r="T226">
        <v>0.93150684931506844</v>
      </c>
      <c r="U226" t="s">
        <v>128</v>
      </c>
      <c r="V226" t="s">
        <v>82</v>
      </c>
      <c r="W226" t="s">
        <v>68</v>
      </c>
      <c r="Y226" t="s">
        <v>49</v>
      </c>
      <c r="Z226" t="s">
        <v>60</v>
      </c>
    </row>
    <row r="227" spans="1:26" x14ac:dyDescent="0.25">
      <c r="A227">
        <v>1042066636</v>
      </c>
      <c r="B227" t="s">
        <v>588</v>
      </c>
      <c r="C227" t="s">
        <v>74</v>
      </c>
      <c r="D227" t="s">
        <v>36</v>
      </c>
      <c r="E227" t="s">
        <v>37</v>
      </c>
      <c r="F227" t="s">
        <v>38</v>
      </c>
      <c r="G227">
        <v>908526</v>
      </c>
      <c r="H227">
        <v>215000</v>
      </c>
      <c r="I227">
        <v>1269980</v>
      </c>
      <c r="J227" t="s">
        <v>86</v>
      </c>
      <c r="K227" t="s">
        <v>40</v>
      </c>
      <c r="L227" s="1">
        <v>35953</v>
      </c>
      <c r="M227">
        <v>23</v>
      </c>
      <c r="N227" t="s">
        <v>589</v>
      </c>
      <c r="O227" t="s">
        <v>92</v>
      </c>
      <c r="P227" t="s">
        <v>43</v>
      </c>
      <c r="Q227" s="1">
        <v>44243</v>
      </c>
      <c r="R227" s="1">
        <v>44336</v>
      </c>
      <c r="S227" t="s">
        <v>44</v>
      </c>
      <c r="T227">
        <v>0.25479452054794521</v>
      </c>
      <c r="U227" t="s">
        <v>120</v>
      </c>
      <c r="V227" t="s">
        <v>82</v>
      </c>
      <c r="W227" t="s">
        <v>68</v>
      </c>
      <c r="Y227" t="s">
        <v>49</v>
      </c>
      <c r="Z227" t="s">
        <v>69</v>
      </c>
    </row>
    <row r="228" spans="1:26" x14ac:dyDescent="0.25">
      <c r="A228">
        <v>1044508346</v>
      </c>
      <c r="B228" t="s">
        <v>590</v>
      </c>
      <c r="C228" t="s">
        <v>74</v>
      </c>
      <c r="D228" t="s">
        <v>36</v>
      </c>
      <c r="E228" t="s">
        <v>37</v>
      </c>
      <c r="F228" t="s">
        <v>62</v>
      </c>
      <c r="G228">
        <v>908526</v>
      </c>
      <c r="H228">
        <v>0</v>
      </c>
      <c r="I228">
        <v>1474980</v>
      </c>
      <c r="J228" t="s">
        <v>39</v>
      </c>
      <c r="K228" t="s">
        <v>63</v>
      </c>
      <c r="L228" s="1">
        <v>35296</v>
      </c>
      <c r="M228">
        <v>25</v>
      </c>
      <c r="N228" t="s">
        <v>591</v>
      </c>
      <c r="O228" t="s">
        <v>65</v>
      </c>
      <c r="P228" t="s">
        <v>57</v>
      </c>
      <c r="Q228" s="1">
        <v>44378</v>
      </c>
      <c r="R228" s="1">
        <v>44454</v>
      </c>
      <c r="S228" t="s">
        <v>44</v>
      </c>
      <c r="T228">
        <v>0.20821917808219179</v>
      </c>
      <c r="U228" t="s">
        <v>128</v>
      </c>
      <c r="V228" t="s">
        <v>82</v>
      </c>
      <c r="W228" t="s">
        <v>68</v>
      </c>
      <c r="Y228" t="s">
        <v>49</v>
      </c>
      <c r="Z228" t="s">
        <v>69</v>
      </c>
    </row>
    <row r="229" spans="1:26" x14ac:dyDescent="0.25">
      <c r="A229">
        <v>1000654052</v>
      </c>
      <c r="B229" t="s">
        <v>592</v>
      </c>
      <c r="C229" t="s">
        <v>35</v>
      </c>
      <c r="D229" t="s">
        <v>52</v>
      </c>
      <c r="E229" t="s">
        <v>593</v>
      </c>
      <c r="F229" t="s">
        <v>38</v>
      </c>
      <c r="G229">
        <v>681394</v>
      </c>
      <c r="H229">
        <v>0</v>
      </c>
      <c r="I229">
        <v>1000000</v>
      </c>
      <c r="J229" t="s">
        <v>39</v>
      </c>
      <c r="K229" t="s">
        <v>396</v>
      </c>
      <c r="L229" s="1">
        <v>37256</v>
      </c>
      <c r="M229">
        <v>20</v>
      </c>
      <c r="N229" t="s">
        <v>594</v>
      </c>
      <c r="O229" t="s">
        <v>56</v>
      </c>
      <c r="P229" t="s">
        <v>57</v>
      </c>
      <c r="Q229" s="1">
        <v>44158</v>
      </c>
      <c r="R229" s="1">
        <v>44175</v>
      </c>
      <c r="S229" t="s">
        <v>111</v>
      </c>
      <c r="T229">
        <v>4.6575342465753428E-2</v>
      </c>
      <c r="U229" t="s">
        <v>67</v>
      </c>
      <c r="V229" t="s">
        <v>82</v>
      </c>
      <c r="W229" t="s">
        <v>68</v>
      </c>
      <c r="Y229" t="s">
        <v>49</v>
      </c>
      <c r="Z229" t="s">
        <v>69</v>
      </c>
    </row>
    <row r="230" spans="1:26" x14ac:dyDescent="0.25">
      <c r="A230">
        <v>15329896</v>
      </c>
      <c r="B230" t="s">
        <v>595</v>
      </c>
      <c r="C230" t="s">
        <v>74</v>
      </c>
      <c r="D230" t="s">
        <v>36</v>
      </c>
      <c r="E230" t="s">
        <v>37</v>
      </c>
      <c r="F230" t="s">
        <v>62</v>
      </c>
      <c r="G230">
        <v>908526</v>
      </c>
      <c r="H230">
        <v>0</v>
      </c>
      <c r="I230">
        <v>1014980</v>
      </c>
      <c r="J230" t="s">
        <v>39</v>
      </c>
      <c r="K230" t="s">
        <v>63</v>
      </c>
      <c r="L230" s="1">
        <v>28720</v>
      </c>
      <c r="M230">
        <v>43</v>
      </c>
      <c r="N230" t="s">
        <v>596</v>
      </c>
      <c r="O230" t="s">
        <v>65</v>
      </c>
      <c r="P230" t="s">
        <v>43</v>
      </c>
      <c r="Q230" s="1">
        <v>44378</v>
      </c>
      <c r="R230" s="1">
        <v>44440</v>
      </c>
      <c r="S230" t="s">
        <v>44</v>
      </c>
      <c r="T230">
        <v>0.16986301369863013</v>
      </c>
      <c r="U230" t="s">
        <v>67</v>
      </c>
      <c r="V230" t="s">
        <v>82</v>
      </c>
      <c r="W230" t="s">
        <v>59</v>
      </c>
      <c r="Y230" t="s">
        <v>49</v>
      </c>
      <c r="Z230" t="s">
        <v>109</v>
      </c>
    </row>
    <row r="231" spans="1:26" x14ac:dyDescent="0.25">
      <c r="A231">
        <v>1001498598</v>
      </c>
      <c r="B231" t="s">
        <v>597</v>
      </c>
      <c r="C231" t="s">
        <v>74</v>
      </c>
      <c r="D231" t="s">
        <v>36</v>
      </c>
      <c r="E231" t="s">
        <v>37</v>
      </c>
      <c r="F231" t="s">
        <v>38</v>
      </c>
      <c r="G231">
        <v>908526</v>
      </c>
      <c r="H231">
        <v>215000</v>
      </c>
      <c r="I231">
        <v>1229980</v>
      </c>
      <c r="J231" t="s">
        <v>161</v>
      </c>
      <c r="K231" t="s">
        <v>63</v>
      </c>
      <c r="L231" s="1">
        <v>35431</v>
      </c>
      <c r="M231">
        <v>25</v>
      </c>
      <c r="N231" t="s">
        <v>235</v>
      </c>
      <c r="O231" t="s">
        <v>131</v>
      </c>
      <c r="P231" t="s">
        <v>57</v>
      </c>
      <c r="Q231" s="1">
        <v>44155</v>
      </c>
      <c r="R231" s="1">
        <v>44209</v>
      </c>
      <c r="S231" t="s">
        <v>44</v>
      </c>
      <c r="T231">
        <v>0.14794520547945206</v>
      </c>
      <c r="U231" t="s">
        <v>67</v>
      </c>
      <c r="V231" t="s">
        <v>82</v>
      </c>
      <c r="W231" t="s">
        <v>68</v>
      </c>
      <c r="Y231" t="s">
        <v>49</v>
      </c>
      <c r="Z231" t="s">
        <v>69</v>
      </c>
    </row>
    <row r="232" spans="1:26" x14ac:dyDescent="0.25">
      <c r="A232">
        <v>1042066160</v>
      </c>
      <c r="B232" t="s">
        <v>598</v>
      </c>
      <c r="C232" t="s">
        <v>74</v>
      </c>
      <c r="D232" t="s">
        <v>36</v>
      </c>
      <c r="E232" t="s">
        <v>37</v>
      </c>
      <c r="F232" t="s">
        <v>38</v>
      </c>
      <c r="G232">
        <v>908526</v>
      </c>
      <c r="H232">
        <v>0</v>
      </c>
      <c r="I232">
        <v>1014980</v>
      </c>
      <c r="J232" t="s">
        <v>86</v>
      </c>
      <c r="K232" t="s">
        <v>75</v>
      </c>
      <c r="L232" s="1">
        <v>35531</v>
      </c>
      <c r="M232">
        <v>24</v>
      </c>
      <c r="N232" t="s">
        <v>599</v>
      </c>
      <c r="O232" t="s">
        <v>131</v>
      </c>
      <c r="P232" t="s">
        <v>43</v>
      </c>
      <c r="Q232" s="1">
        <v>44459</v>
      </c>
      <c r="R232" s="1"/>
      <c r="S232" t="s">
        <v>44</v>
      </c>
      <c r="T232">
        <v>1.9178082191780823E-2</v>
      </c>
      <c r="U232" t="s">
        <v>67</v>
      </c>
      <c r="V232" t="s">
        <v>46</v>
      </c>
      <c r="W232" t="s">
        <v>68</v>
      </c>
      <c r="Y232" t="s">
        <v>49</v>
      </c>
      <c r="Z232" t="s">
        <v>69</v>
      </c>
    </row>
    <row r="233" spans="1:26" x14ac:dyDescent="0.25">
      <c r="A233">
        <v>1026158883</v>
      </c>
      <c r="B233" t="s">
        <v>600</v>
      </c>
      <c r="C233" t="s">
        <v>74</v>
      </c>
      <c r="D233" t="s">
        <v>36</v>
      </c>
      <c r="E233" t="s">
        <v>37</v>
      </c>
      <c r="F233" t="s">
        <v>38</v>
      </c>
      <c r="G233">
        <v>908526</v>
      </c>
      <c r="H233">
        <v>0</v>
      </c>
      <c r="I233">
        <v>1014980</v>
      </c>
      <c r="J233" t="s">
        <v>71</v>
      </c>
      <c r="K233" t="s">
        <v>75</v>
      </c>
      <c r="L233" s="1">
        <v>35768</v>
      </c>
      <c r="M233">
        <v>24</v>
      </c>
      <c r="N233" t="s">
        <v>601</v>
      </c>
      <c r="O233" t="s">
        <v>436</v>
      </c>
      <c r="P233" t="s">
        <v>57</v>
      </c>
      <c r="Q233" s="1">
        <v>44459</v>
      </c>
      <c r="R233" s="1"/>
      <c r="S233" t="s">
        <v>44</v>
      </c>
      <c r="T233">
        <v>1.9178082191780823E-2</v>
      </c>
      <c r="U233" t="s">
        <v>602</v>
      </c>
      <c r="V233" t="s">
        <v>46</v>
      </c>
      <c r="W233" t="s">
        <v>68</v>
      </c>
      <c r="Y233" t="s">
        <v>49</v>
      </c>
      <c r="Z233" t="s">
        <v>69</v>
      </c>
    </row>
    <row r="234" spans="1:26" x14ac:dyDescent="0.25">
      <c r="A234">
        <v>1001588082</v>
      </c>
      <c r="B234" t="s">
        <v>603</v>
      </c>
      <c r="C234" t="s">
        <v>74</v>
      </c>
      <c r="D234" t="s">
        <v>36</v>
      </c>
      <c r="E234" t="s">
        <v>37</v>
      </c>
      <c r="F234" t="s">
        <v>38</v>
      </c>
      <c r="G234">
        <v>908526</v>
      </c>
      <c r="H234">
        <v>0</v>
      </c>
      <c r="I234">
        <v>1014980</v>
      </c>
      <c r="J234" t="s">
        <v>86</v>
      </c>
      <c r="K234" t="s">
        <v>63</v>
      </c>
      <c r="L234" s="1">
        <v>37850</v>
      </c>
      <c r="M234">
        <v>18</v>
      </c>
      <c r="N234" t="s">
        <v>230</v>
      </c>
      <c r="O234" t="s">
        <v>77</v>
      </c>
      <c r="P234" t="s">
        <v>57</v>
      </c>
      <c r="Q234" s="1">
        <v>44459</v>
      </c>
      <c r="R234" s="1"/>
      <c r="S234" t="s">
        <v>44</v>
      </c>
      <c r="T234">
        <v>1.9178082191780823E-2</v>
      </c>
      <c r="U234" t="s">
        <v>128</v>
      </c>
      <c r="V234" t="s">
        <v>46</v>
      </c>
      <c r="W234" t="s">
        <v>68</v>
      </c>
      <c r="Y234" t="s">
        <v>49</v>
      </c>
      <c r="Z234" t="s">
        <v>69</v>
      </c>
    </row>
    <row r="235" spans="1:26" x14ac:dyDescent="0.25">
      <c r="A235">
        <v>1017125933</v>
      </c>
      <c r="B235" t="s">
        <v>604</v>
      </c>
      <c r="C235" t="s">
        <v>35</v>
      </c>
      <c r="D235" t="s">
        <v>36</v>
      </c>
      <c r="E235" t="s">
        <v>111</v>
      </c>
      <c r="F235" t="s">
        <v>38</v>
      </c>
      <c r="G235">
        <v>454263</v>
      </c>
      <c r="H235">
        <v>0</v>
      </c>
      <c r="I235">
        <v>1000000</v>
      </c>
      <c r="J235" t="s">
        <v>86</v>
      </c>
      <c r="K235" t="s">
        <v>75</v>
      </c>
      <c r="L235" s="1">
        <v>35150</v>
      </c>
      <c r="M235">
        <v>35</v>
      </c>
      <c r="N235" t="s">
        <v>605</v>
      </c>
      <c r="O235" t="s">
        <v>38</v>
      </c>
      <c r="P235" t="s">
        <v>43</v>
      </c>
      <c r="Q235" s="1">
        <v>44452</v>
      </c>
      <c r="R235" s="1"/>
      <c r="S235" t="s">
        <v>111</v>
      </c>
      <c r="T235">
        <v>3.8356164383561646E-2</v>
      </c>
      <c r="U235" t="s">
        <v>67</v>
      </c>
      <c r="V235" t="s">
        <v>46</v>
      </c>
      <c r="W235" t="s">
        <v>59</v>
      </c>
      <c r="Y235" t="s">
        <v>49</v>
      </c>
      <c r="Z235" t="s">
        <v>69</v>
      </c>
    </row>
    <row r="236" spans="1:26" x14ac:dyDescent="0.25">
      <c r="A236">
        <v>70255544</v>
      </c>
      <c r="B236" t="s">
        <v>606</v>
      </c>
      <c r="C236" t="s">
        <v>74</v>
      </c>
      <c r="D236" t="s">
        <v>36</v>
      </c>
      <c r="E236" t="s">
        <v>37</v>
      </c>
      <c r="F236" t="s">
        <v>62</v>
      </c>
      <c r="G236">
        <v>908526</v>
      </c>
      <c r="H236">
        <v>0</v>
      </c>
      <c r="I236">
        <v>1014980</v>
      </c>
      <c r="J236" t="s">
        <v>71</v>
      </c>
      <c r="K236" t="s">
        <v>75</v>
      </c>
      <c r="L236" s="1">
        <v>27359</v>
      </c>
      <c r="M236">
        <v>46</v>
      </c>
      <c r="N236" t="s">
        <v>607</v>
      </c>
      <c r="O236" t="s">
        <v>38</v>
      </c>
      <c r="P236" t="s">
        <v>43</v>
      </c>
      <c r="Q236" s="1">
        <v>44466</v>
      </c>
      <c r="R236" s="1"/>
      <c r="S236" t="s">
        <v>44</v>
      </c>
      <c r="T236">
        <v>-121.82465753424657</v>
      </c>
      <c r="U236" t="s">
        <v>120</v>
      </c>
      <c r="V236" t="s">
        <v>82</v>
      </c>
      <c r="W236" t="s">
        <v>59</v>
      </c>
      <c r="Y236" t="s">
        <v>49</v>
      </c>
      <c r="Z236" t="s">
        <v>109</v>
      </c>
    </row>
    <row r="237" spans="1:26" x14ac:dyDescent="0.25">
      <c r="A237">
        <v>98669810</v>
      </c>
      <c r="B237" t="s">
        <v>608</v>
      </c>
      <c r="C237" t="s">
        <v>74</v>
      </c>
      <c r="D237" t="s">
        <v>36</v>
      </c>
      <c r="E237" t="s">
        <v>278</v>
      </c>
      <c r="F237" t="s">
        <v>62</v>
      </c>
      <c r="G237">
        <v>908526</v>
      </c>
      <c r="H237">
        <v>0</v>
      </c>
      <c r="I237">
        <v>1014980</v>
      </c>
      <c r="J237" t="s">
        <v>39</v>
      </c>
      <c r="K237" t="s">
        <v>40</v>
      </c>
      <c r="L237" s="1">
        <v>29138</v>
      </c>
      <c r="M237">
        <v>41</v>
      </c>
      <c r="N237" t="s">
        <v>609</v>
      </c>
      <c r="O237" t="s">
        <v>38</v>
      </c>
      <c r="P237" t="s">
        <v>43</v>
      </c>
      <c r="Q237" s="1">
        <v>44466</v>
      </c>
      <c r="R237" s="1"/>
      <c r="S237" t="s">
        <v>44</v>
      </c>
      <c r="T237">
        <v>0.50136986301369868</v>
      </c>
      <c r="U237" t="s">
        <v>610</v>
      </c>
      <c r="V237" t="s">
        <v>46</v>
      </c>
      <c r="W237" t="s">
        <v>59</v>
      </c>
      <c r="Y237" t="s">
        <v>49</v>
      </c>
      <c r="Z237" t="s">
        <v>109</v>
      </c>
    </row>
    <row r="238" spans="1:26" x14ac:dyDescent="0.25">
      <c r="A238">
        <v>3664371</v>
      </c>
      <c r="B238" t="s">
        <v>611</v>
      </c>
      <c r="C238" t="s">
        <v>74</v>
      </c>
      <c r="D238" t="s">
        <v>36</v>
      </c>
      <c r="E238" t="s">
        <v>37</v>
      </c>
      <c r="F238" t="s">
        <v>62</v>
      </c>
      <c r="G238">
        <v>908526</v>
      </c>
      <c r="H238">
        <v>0</v>
      </c>
      <c r="I238">
        <v>1014980</v>
      </c>
      <c r="J238" t="s">
        <v>71</v>
      </c>
      <c r="K238" t="s">
        <v>143</v>
      </c>
      <c r="L238" s="1">
        <v>31408</v>
      </c>
      <c r="M238">
        <v>35</v>
      </c>
      <c r="N238" t="s">
        <v>612</v>
      </c>
      <c r="O238" t="s">
        <v>155</v>
      </c>
      <c r="P238" t="s">
        <v>57</v>
      </c>
      <c r="Q238" s="1">
        <v>44466</v>
      </c>
      <c r="R238" s="1"/>
      <c r="S238" t="s">
        <v>44</v>
      </c>
      <c r="T238">
        <v>0.50136986301369868</v>
      </c>
      <c r="U238" t="s">
        <v>67</v>
      </c>
      <c r="V238" t="s">
        <v>46</v>
      </c>
      <c r="W238" t="s">
        <v>59</v>
      </c>
      <c r="Y238" t="s">
        <v>49</v>
      </c>
      <c r="Z238" t="s">
        <v>60</v>
      </c>
    </row>
    <row r="239" spans="1:26" x14ac:dyDescent="0.25">
      <c r="A239">
        <v>1042774458</v>
      </c>
      <c r="B239" t="s">
        <v>613</v>
      </c>
      <c r="C239" t="s">
        <v>35</v>
      </c>
      <c r="D239" t="s">
        <v>36</v>
      </c>
      <c r="E239" t="s">
        <v>37</v>
      </c>
      <c r="F239" t="s">
        <v>62</v>
      </c>
      <c r="G239">
        <v>908526</v>
      </c>
      <c r="H239">
        <v>0</v>
      </c>
      <c r="I239">
        <v>1014980</v>
      </c>
      <c r="J239" t="s">
        <v>126</v>
      </c>
      <c r="K239" t="s">
        <v>63</v>
      </c>
      <c r="L239" s="1">
        <v>35795</v>
      </c>
      <c r="M239">
        <v>23</v>
      </c>
      <c r="N239" t="s">
        <v>64</v>
      </c>
      <c r="O239" t="s">
        <v>65</v>
      </c>
      <c r="P239" t="s">
        <v>57</v>
      </c>
      <c r="Q239" s="1">
        <v>44473</v>
      </c>
      <c r="R239" s="1"/>
      <c r="S239" t="s">
        <v>44</v>
      </c>
      <c r="T239">
        <v>0.48219178082191783</v>
      </c>
      <c r="U239" t="s">
        <v>67</v>
      </c>
      <c r="V239" t="s">
        <v>46</v>
      </c>
      <c r="W239" t="s">
        <v>68</v>
      </c>
      <c r="Y239" t="s">
        <v>49</v>
      </c>
      <c r="Z239" t="s">
        <v>69</v>
      </c>
    </row>
    <row r="240" spans="1:26" x14ac:dyDescent="0.25">
      <c r="A240">
        <v>1001165377</v>
      </c>
      <c r="B240" t="s">
        <v>614</v>
      </c>
      <c r="C240" t="s">
        <v>74</v>
      </c>
      <c r="D240" t="s">
        <v>36</v>
      </c>
      <c r="E240" t="s">
        <v>37</v>
      </c>
      <c r="F240" t="s">
        <v>62</v>
      </c>
      <c r="G240">
        <v>908526</v>
      </c>
      <c r="H240">
        <v>0</v>
      </c>
      <c r="I240">
        <v>1014980</v>
      </c>
      <c r="J240" t="s">
        <v>86</v>
      </c>
      <c r="K240" t="s">
        <v>63</v>
      </c>
      <c r="L240" s="1">
        <v>36045</v>
      </c>
      <c r="M240">
        <v>23</v>
      </c>
      <c r="N240" t="s">
        <v>615</v>
      </c>
      <c r="O240" t="s">
        <v>65</v>
      </c>
      <c r="P240" t="s">
        <v>43</v>
      </c>
      <c r="Q240" s="1">
        <v>44473</v>
      </c>
      <c r="R240" s="1"/>
      <c r="S240" t="s">
        <v>44</v>
      </c>
      <c r="T240">
        <v>0.48219178082191783</v>
      </c>
      <c r="U240" t="s">
        <v>67</v>
      </c>
      <c r="V240" t="s">
        <v>46</v>
      </c>
      <c r="W240" t="s">
        <v>68</v>
      </c>
      <c r="Y240" t="s">
        <v>49</v>
      </c>
      <c r="Z240" t="s">
        <v>69</v>
      </c>
    </row>
    <row r="241" spans="1:26" x14ac:dyDescent="0.25">
      <c r="A241">
        <v>1112787474</v>
      </c>
      <c r="B241" t="s">
        <v>616</v>
      </c>
      <c r="C241" t="s">
        <v>35</v>
      </c>
      <c r="D241" t="s">
        <v>36</v>
      </c>
      <c r="E241" t="s">
        <v>37</v>
      </c>
      <c r="F241" t="s">
        <v>38</v>
      </c>
      <c r="G241">
        <v>908526</v>
      </c>
      <c r="H241">
        <v>0</v>
      </c>
      <c r="I241">
        <v>1014980</v>
      </c>
      <c r="J241" t="s">
        <v>86</v>
      </c>
      <c r="K241" t="s">
        <v>80</v>
      </c>
      <c r="L241" s="1">
        <v>35222</v>
      </c>
      <c r="M241">
        <v>25</v>
      </c>
      <c r="N241" t="s">
        <v>617</v>
      </c>
      <c r="O241" t="s">
        <v>56</v>
      </c>
      <c r="P241" t="s">
        <v>43</v>
      </c>
      <c r="Q241" s="1">
        <v>44473</v>
      </c>
      <c r="R241" s="1">
        <v>44474</v>
      </c>
      <c r="S241" t="s">
        <v>44</v>
      </c>
      <c r="T241">
        <v>2.7397260273972603E-3</v>
      </c>
      <c r="U241" t="s">
        <v>67</v>
      </c>
      <c r="V241" t="s">
        <v>82</v>
      </c>
      <c r="W241" t="s">
        <v>68</v>
      </c>
      <c r="Y241" t="s">
        <v>49</v>
      </c>
      <c r="Z241" t="s">
        <v>69</v>
      </c>
    </row>
    <row r="242" spans="1:26" x14ac:dyDescent="0.25">
      <c r="A242">
        <v>1044508628</v>
      </c>
      <c r="B242" t="s">
        <v>618</v>
      </c>
      <c r="C242" t="s">
        <v>35</v>
      </c>
      <c r="D242" t="s">
        <v>36</v>
      </c>
      <c r="E242" t="s">
        <v>37</v>
      </c>
      <c r="F242" t="s">
        <v>62</v>
      </c>
      <c r="G242">
        <v>908526</v>
      </c>
      <c r="H242">
        <v>0</v>
      </c>
      <c r="I242">
        <v>1014980</v>
      </c>
      <c r="J242" t="s">
        <v>39</v>
      </c>
      <c r="K242" t="s">
        <v>75</v>
      </c>
      <c r="L242" s="1">
        <v>35570</v>
      </c>
      <c r="M242">
        <v>24</v>
      </c>
      <c r="N242" t="s">
        <v>619</v>
      </c>
      <c r="O242" t="s">
        <v>620</v>
      </c>
      <c r="P242" t="s">
        <v>57</v>
      </c>
      <c r="Q242" s="1">
        <v>44473</v>
      </c>
      <c r="R242" s="1"/>
      <c r="S242" t="s">
        <v>44</v>
      </c>
      <c r="T242">
        <v>0.48219178082191783</v>
      </c>
      <c r="U242" t="s">
        <v>67</v>
      </c>
      <c r="V242" t="s">
        <v>46</v>
      </c>
      <c r="W242" t="s">
        <v>68</v>
      </c>
      <c r="Y242" t="s">
        <v>49</v>
      </c>
      <c r="Z242" t="s">
        <v>69</v>
      </c>
    </row>
    <row r="243" spans="1:26" x14ac:dyDescent="0.25">
      <c r="A243">
        <v>15273357</v>
      </c>
      <c r="B243" t="s">
        <v>621</v>
      </c>
      <c r="C243" t="s">
        <v>35</v>
      </c>
      <c r="D243" t="s">
        <v>52</v>
      </c>
      <c r="E243" t="s">
        <v>622</v>
      </c>
      <c r="F243" t="s">
        <v>62</v>
      </c>
      <c r="G243">
        <v>1500000</v>
      </c>
      <c r="H243">
        <v>300000</v>
      </c>
      <c r="I243">
        <v>1906454</v>
      </c>
      <c r="J243" t="s">
        <v>39</v>
      </c>
      <c r="K243" t="s">
        <v>75</v>
      </c>
      <c r="L243" s="1">
        <v>29341</v>
      </c>
      <c r="M243">
        <v>41</v>
      </c>
      <c r="N243" t="s">
        <v>623</v>
      </c>
      <c r="O243" t="s">
        <v>624</v>
      </c>
      <c r="P243" t="s">
        <v>57</v>
      </c>
      <c r="Q243" s="1">
        <v>44473</v>
      </c>
      <c r="R243" s="1"/>
      <c r="S243" t="s">
        <v>44</v>
      </c>
      <c r="T243">
        <v>0.48219178082191783</v>
      </c>
      <c r="U243" t="s">
        <v>67</v>
      </c>
      <c r="V243" t="s">
        <v>46</v>
      </c>
      <c r="W243" t="s">
        <v>59</v>
      </c>
      <c r="Y243" t="s">
        <v>49</v>
      </c>
      <c r="Z243" t="s">
        <v>109</v>
      </c>
    </row>
    <row r="244" spans="1:26" x14ac:dyDescent="0.25">
      <c r="A244">
        <v>1044505087</v>
      </c>
      <c r="B244" t="s">
        <v>625</v>
      </c>
      <c r="C244" t="s">
        <v>74</v>
      </c>
      <c r="D244" t="s">
        <v>36</v>
      </c>
      <c r="E244" t="s">
        <v>37</v>
      </c>
      <c r="F244" t="s">
        <v>62</v>
      </c>
      <c r="G244">
        <v>908526</v>
      </c>
      <c r="H244">
        <v>0</v>
      </c>
      <c r="I244">
        <v>1014980</v>
      </c>
      <c r="J244" t="s">
        <v>86</v>
      </c>
      <c r="K244" t="s">
        <v>279</v>
      </c>
      <c r="L244" s="1">
        <v>36457</v>
      </c>
      <c r="M244">
        <v>22</v>
      </c>
      <c r="N244" t="s">
        <v>626</v>
      </c>
      <c r="O244" t="s">
        <v>155</v>
      </c>
      <c r="P244" t="s">
        <v>57</v>
      </c>
      <c r="Q244" s="1">
        <v>44473</v>
      </c>
      <c r="R244" s="1"/>
      <c r="S244" t="s">
        <v>44</v>
      </c>
      <c r="T244">
        <v>0.48219178082191783</v>
      </c>
      <c r="U244" t="s">
        <v>67</v>
      </c>
      <c r="V244" t="s">
        <v>46</v>
      </c>
      <c r="W244" t="s">
        <v>68</v>
      </c>
      <c r="Y244" t="s">
        <v>49</v>
      </c>
      <c r="Z244" t="s">
        <v>69</v>
      </c>
    </row>
    <row r="245" spans="1:26" x14ac:dyDescent="0.25">
      <c r="A245">
        <v>98478150</v>
      </c>
      <c r="B245" t="s">
        <v>627</v>
      </c>
      <c r="C245" t="s">
        <v>74</v>
      </c>
      <c r="D245" t="s">
        <v>36</v>
      </c>
      <c r="E245" t="s">
        <v>37</v>
      </c>
      <c r="F245" t="s">
        <v>38</v>
      </c>
      <c r="G245">
        <v>908526</v>
      </c>
      <c r="H245">
        <v>0</v>
      </c>
      <c r="I245">
        <v>1014980</v>
      </c>
      <c r="J245" t="s">
        <v>39</v>
      </c>
      <c r="K245" t="s">
        <v>40</v>
      </c>
      <c r="L245" s="1">
        <v>24645</v>
      </c>
      <c r="M245">
        <v>54</v>
      </c>
      <c r="N245" t="s">
        <v>628</v>
      </c>
      <c r="O245" t="s">
        <v>56</v>
      </c>
      <c r="P245" t="s">
        <v>43</v>
      </c>
      <c r="Q245" s="1">
        <v>44480</v>
      </c>
      <c r="R245" s="1"/>
      <c r="S245" t="s">
        <v>44</v>
      </c>
      <c r="T245">
        <v>0.46301369863013697</v>
      </c>
      <c r="U245" t="s">
        <v>610</v>
      </c>
      <c r="V245" t="s">
        <v>46</v>
      </c>
      <c r="W245" t="s">
        <v>47</v>
      </c>
      <c r="Y245" t="s">
        <v>49</v>
      </c>
      <c r="Z245" t="s">
        <v>50</v>
      </c>
    </row>
    <row r="246" spans="1:26" x14ac:dyDescent="0.25">
      <c r="A246">
        <v>1000921375</v>
      </c>
      <c r="B246" t="s">
        <v>629</v>
      </c>
      <c r="C246" t="s">
        <v>630</v>
      </c>
      <c r="D246" t="s">
        <v>36</v>
      </c>
      <c r="E246" t="s">
        <v>37</v>
      </c>
      <c r="F246" t="s">
        <v>38</v>
      </c>
      <c r="G246">
        <v>908526</v>
      </c>
      <c r="H246">
        <v>0</v>
      </c>
      <c r="I246">
        <v>1014980</v>
      </c>
      <c r="J246" t="s">
        <v>86</v>
      </c>
      <c r="K246" t="s">
        <v>63</v>
      </c>
      <c r="L246" s="1">
        <v>37130</v>
      </c>
      <c r="M246">
        <v>20</v>
      </c>
      <c r="N246" t="s">
        <v>631</v>
      </c>
      <c r="O246" t="s">
        <v>632</v>
      </c>
      <c r="P246" t="s">
        <v>57</v>
      </c>
      <c r="Q246" s="1">
        <v>44480</v>
      </c>
      <c r="R246" s="1"/>
      <c r="S246" t="s">
        <v>44</v>
      </c>
      <c r="T246">
        <v>-121.86301369863014</v>
      </c>
      <c r="U246" t="s">
        <v>120</v>
      </c>
      <c r="V246" t="s">
        <v>82</v>
      </c>
      <c r="W246" t="s">
        <v>68</v>
      </c>
      <c r="Y246" t="s">
        <v>49</v>
      </c>
      <c r="Z246" t="s">
        <v>69</v>
      </c>
    </row>
    <row r="247" spans="1:26" x14ac:dyDescent="0.25">
      <c r="A247">
        <v>3402092</v>
      </c>
      <c r="B247" t="s">
        <v>633</v>
      </c>
      <c r="C247" t="s">
        <v>74</v>
      </c>
      <c r="D247" t="s">
        <v>36</v>
      </c>
      <c r="E247" t="s">
        <v>37</v>
      </c>
      <c r="F247" t="s">
        <v>79</v>
      </c>
      <c r="G247">
        <v>908526</v>
      </c>
      <c r="H247">
        <v>0</v>
      </c>
      <c r="I247">
        <v>1014980</v>
      </c>
      <c r="J247" t="s">
        <v>39</v>
      </c>
      <c r="K247" t="s">
        <v>143</v>
      </c>
      <c r="L247" s="1">
        <v>29729</v>
      </c>
      <c r="M247">
        <v>40</v>
      </c>
      <c r="N247" t="s">
        <v>634</v>
      </c>
      <c r="O247" t="s">
        <v>56</v>
      </c>
      <c r="P247" t="s">
        <v>43</v>
      </c>
      <c r="Q247" s="1">
        <v>44480</v>
      </c>
      <c r="R247" s="1"/>
      <c r="S247" t="s">
        <v>44</v>
      </c>
      <c r="T247">
        <v>0.46301369863013697</v>
      </c>
      <c r="U247" t="s">
        <v>67</v>
      </c>
      <c r="V247" t="s">
        <v>46</v>
      </c>
      <c r="W247" t="s">
        <v>59</v>
      </c>
      <c r="Y247" t="s">
        <v>49</v>
      </c>
      <c r="Z247" t="s">
        <v>60</v>
      </c>
    </row>
    <row r="248" spans="1:26" x14ac:dyDescent="0.25">
      <c r="A248">
        <v>1007121054</v>
      </c>
      <c r="B248" t="s">
        <v>635</v>
      </c>
      <c r="C248" t="s">
        <v>35</v>
      </c>
      <c r="D248" t="s">
        <v>52</v>
      </c>
      <c r="E248" t="s">
        <v>111</v>
      </c>
      <c r="F248" t="s">
        <v>62</v>
      </c>
      <c r="G248">
        <v>908526</v>
      </c>
      <c r="H248">
        <v>0</v>
      </c>
      <c r="I248">
        <v>1000000</v>
      </c>
      <c r="J248" t="s">
        <v>158</v>
      </c>
      <c r="K248" t="s">
        <v>63</v>
      </c>
      <c r="L248" s="1">
        <v>35059</v>
      </c>
      <c r="M248">
        <v>25</v>
      </c>
      <c r="N248" t="s">
        <v>636</v>
      </c>
      <c r="O248" t="s">
        <v>65</v>
      </c>
      <c r="P248" t="s">
        <v>57</v>
      </c>
      <c r="Q248" s="1">
        <v>44470</v>
      </c>
      <c r="R248" s="1"/>
      <c r="S248" t="s">
        <v>111</v>
      </c>
      <c r="T248">
        <v>0.49041095890410957</v>
      </c>
      <c r="U248" t="s">
        <v>67</v>
      </c>
      <c r="V248" t="s">
        <v>46</v>
      </c>
      <c r="W248" t="s">
        <v>68</v>
      </c>
      <c r="Y248" t="s">
        <v>49</v>
      </c>
      <c r="Z248" t="s">
        <v>69</v>
      </c>
    </row>
    <row r="249" spans="1:26" x14ac:dyDescent="0.25">
      <c r="A249">
        <v>1026139503</v>
      </c>
      <c r="B249" t="s">
        <v>637</v>
      </c>
      <c r="C249" t="s">
        <v>74</v>
      </c>
      <c r="D249" t="s">
        <v>36</v>
      </c>
      <c r="E249" t="s">
        <v>99</v>
      </c>
      <c r="F249" t="s">
        <v>38</v>
      </c>
      <c r="G249">
        <v>1500000</v>
      </c>
      <c r="H249">
        <v>300000</v>
      </c>
      <c r="I249">
        <v>1906454</v>
      </c>
      <c r="J249" t="s">
        <v>39</v>
      </c>
      <c r="K249" t="s">
        <v>40</v>
      </c>
      <c r="L249" s="1">
        <v>32888</v>
      </c>
      <c r="M249">
        <v>32</v>
      </c>
      <c r="N249" t="s">
        <v>638</v>
      </c>
      <c r="O249" t="s">
        <v>56</v>
      </c>
      <c r="P249" t="s">
        <v>43</v>
      </c>
      <c r="Q249" s="1">
        <v>44482</v>
      </c>
      <c r="R249" s="1"/>
      <c r="S249" t="s">
        <v>44</v>
      </c>
      <c r="T249">
        <v>0.45753424657534247</v>
      </c>
      <c r="U249" t="s">
        <v>67</v>
      </c>
      <c r="V249" t="s">
        <v>46</v>
      </c>
      <c r="W249" t="s">
        <v>59</v>
      </c>
      <c r="Y249" t="s">
        <v>49</v>
      </c>
      <c r="Z249" t="s">
        <v>60</v>
      </c>
    </row>
    <row r="250" spans="1:26" x14ac:dyDescent="0.25">
      <c r="A250">
        <v>1017165967</v>
      </c>
      <c r="B250" t="s">
        <v>639</v>
      </c>
      <c r="C250" t="s">
        <v>74</v>
      </c>
      <c r="D250" t="s">
        <v>36</v>
      </c>
      <c r="E250" t="s">
        <v>37</v>
      </c>
      <c r="F250" t="s">
        <v>38</v>
      </c>
      <c r="G250">
        <v>908526</v>
      </c>
      <c r="H250">
        <v>0</v>
      </c>
      <c r="I250">
        <v>1014980</v>
      </c>
      <c r="J250" t="s">
        <v>39</v>
      </c>
      <c r="K250" t="s">
        <v>63</v>
      </c>
      <c r="L250" s="1">
        <v>32178</v>
      </c>
      <c r="M250">
        <v>34</v>
      </c>
      <c r="N250" t="s">
        <v>640</v>
      </c>
      <c r="O250" t="s">
        <v>641</v>
      </c>
      <c r="P250" t="s">
        <v>66</v>
      </c>
      <c r="Q250" s="1">
        <v>44494</v>
      </c>
      <c r="R250" s="1"/>
      <c r="S250" t="s">
        <v>44</v>
      </c>
      <c r="T250">
        <v>0.42465753424657532</v>
      </c>
      <c r="U250" t="s">
        <v>67</v>
      </c>
      <c r="V250" t="s">
        <v>46</v>
      </c>
      <c r="W250" t="s">
        <v>59</v>
      </c>
      <c r="Y250" t="s">
        <v>49</v>
      </c>
      <c r="Z250" t="s">
        <v>60</v>
      </c>
    </row>
    <row r="251" spans="1:26" x14ac:dyDescent="0.25">
      <c r="A251">
        <v>15335526</v>
      </c>
      <c r="B251" t="s">
        <v>642</v>
      </c>
      <c r="C251" t="s">
        <v>35</v>
      </c>
      <c r="D251" t="s">
        <v>36</v>
      </c>
      <c r="E251" t="s">
        <v>37</v>
      </c>
      <c r="F251" t="s">
        <v>38</v>
      </c>
      <c r="G251">
        <v>908526</v>
      </c>
      <c r="H251">
        <v>0</v>
      </c>
      <c r="I251">
        <v>1014980</v>
      </c>
      <c r="J251" t="s">
        <v>39</v>
      </c>
      <c r="K251" t="s">
        <v>63</v>
      </c>
      <c r="L251" s="1">
        <v>44490</v>
      </c>
      <c r="M251">
        <v>55</v>
      </c>
      <c r="N251" t="s">
        <v>643</v>
      </c>
      <c r="O251" t="s">
        <v>644</v>
      </c>
      <c r="P251" t="s">
        <v>43</v>
      </c>
      <c r="Q251" s="1">
        <v>44488</v>
      </c>
      <c r="R251" s="1"/>
      <c r="S251" t="s">
        <v>44</v>
      </c>
      <c r="T251">
        <v>0.44109589041095892</v>
      </c>
      <c r="U251" t="s">
        <v>67</v>
      </c>
      <c r="V251" t="s">
        <v>46</v>
      </c>
      <c r="W251" t="s">
        <v>47</v>
      </c>
      <c r="Y251" t="s">
        <v>49</v>
      </c>
      <c r="Z251" t="s">
        <v>69</v>
      </c>
    </row>
    <row r="252" spans="1:26" x14ac:dyDescent="0.25">
      <c r="A252">
        <v>1001016359</v>
      </c>
      <c r="B252" t="s">
        <v>645</v>
      </c>
      <c r="C252" t="s">
        <v>74</v>
      </c>
      <c r="D252" t="s">
        <v>36</v>
      </c>
      <c r="E252" t="s">
        <v>37</v>
      </c>
      <c r="F252" t="s">
        <v>62</v>
      </c>
      <c r="G252">
        <v>908526</v>
      </c>
      <c r="H252">
        <v>0</v>
      </c>
      <c r="I252">
        <v>1014980</v>
      </c>
      <c r="J252" t="s">
        <v>158</v>
      </c>
      <c r="K252" t="s">
        <v>75</v>
      </c>
      <c r="L252" s="1">
        <v>37759</v>
      </c>
      <c r="M252">
        <v>18</v>
      </c>
      <c r="N252" t="s">
        <v>646</v>
      </c>
      <c r="O252" t="s">
        <v>647</v>
      </c>
      <c r="P252" t="s">
        <v>57</v>
      </c>
      <c r="Q252" s="1">
        <v>44488</v>
      </c>
      <c r="R252" s="1"/>
      <c r="S252" t="s">
        <v>44</v>
      </c>
      <c r="T252">
        <v>0.44109589041095892</v>
      </c>
      <c r="U252" t="s">
        <v>67</v>
      </c>
      <c r="V252" t="s">
        <v>46</v>
      </c>
      <c r="W252" t="s">
        <v>68</v>
      </c>
      <c r="Y252" t="s">
        <v>49</v>
      </c>
      <c r="Z252" t="s">
        <v>69</v>
      </c>
    </row>
    <row r="253" spans="1:26" x14ac:dyDescent="0.25">
      <c r="A253">
        <v>71390501</v>
      </c>
      <c r="B253" t="s">
        <v>648</v>
      </c>
      <c r="C253" t="s">
        <v>74</v>
      </c>
      <c r="D253" t="s">
        <v>649</v>
      </c>
      <c r="E253" t="s">
        <v>37</v>
      </c>
      <c r="F253" t="s">
        <v>38</v>
      </c>
      <c r="G253">
        <v>908526</v>
      </c>
      <c r="H253">
        <v>0</v>
      </c>
      <c r="I253">
        <v>1014980</v>
      </c>
      <c r="J253" t="s">
        <v>39</v>
      </c>
      <c r="K253" t="s">
        <v>143</v>
      </c>
      <c r="L253" s="1">
        <v>24529</v>
      </c>
      <c r="M253">
        <v>55</v>
      </c>
      <c r="N253" t="s">
        <v>650</v>
      </c>
      <c r="O253" t="s">
        <v>56</v>
      </c>
      <c r="P253" t="s">
        <v>43</v>
      </c>
      <c r="Q253" s="1">
        <v>44488</v>
      </c>
      <c r="R253" s="1"/>
      <c r="S253" t="s">
        <v>44</v>
      </c>
      <c r="T253">
        <v>0.44109589041095892</v>
      </c>
      <c r="U253" t="s">
        <v>120</v>
      </c>
      <c r="V253" t="s">
        <v>46</v>
      </c>
      <c r="W253" t="s">
        <v>47</v>
      </c>
      <c r="Y253" t="s">
        <v>49</v>
      </c>
      <c r="Z253" t="s">
        <v>50</v>
      </c>
    </row>
    <row r="254" spans="1:26" x14ac:dyDescent="0.25">
      <c r="A254">
        <v>71396498</v>
      </c>
      <c r="B254" t="s">
        <v>651</v>
      </c>
      <c r="C254" t="s">
        <v>74</v>
      </c>
      <c r="D254" t="s">
        <v>36</v>
      </c>
      <c r="E254" t="s">
        <v>37</v>
      </c>
      <c r="F254" t="s">
        <v>38</v>
      </c>
      <c r="G254">
        <v>908526</v>
      </c>
      <c r="H254">
        <v>300000</v>
      </c>
      <c r="I254">
        <v>1314980</v>
      </c>
      <c r="J254" t="s">
        <v>39</v>
      </c>
      <c r="K254" t="s">
        <v>63</v>
      </c>
      <c r="L254" s="1">
        <v>27586</v>
      </c>
      <c r="M254">
        <v>46</v>
      </c>
      <c r="N254" t="s">
        <v>652</v>
      </c>
      <c r="O254" t="s">
        <v>56</v>
      </c>
      <c r="P254" t="s">
        <v>43</v>
      </c>
      <c r="Q254" s="1">
        <v>44494</v>
      </c>
      <c r="R254" s="1"/>
      <c r="S254" t="s">
        <v>44</v>
      </c>
      <c r="T254">
        <v>-121.9013698630137</v>
      </c>
      <c r="U254" t="s">
        <v>67</v>
      </c>
      <c r="V254" t="s">
        <v>82</v>
      </c>
      <c r="W254" t="s">
        <v>59</v>
      </c>
      <c r="Y254" t="s">
        <v>49</v>
      </c>
      <c r="Z254" t="s">
        <v>109</v>
      </c>
    </row>
    <row r="255" spans="1:26" x14ac:dyDescent="0.25">
      <c r="A255">
        <v>1026144140</v>
      </c>
      <c r="B255" t="s">
        <v>653</v>
      </c>
      <c r="C255" t="s">
        <v>74</v>
      </c>
      <c r="D255" t="s">
        <v>36</v>
      </c>
      <c r="E255" t="s">
        <v>37</v>
      </c>
      <c r="F255" t="s">
        <v>38</v>
      </c>
      <c r="G255">
        <v>908526</v>
      </c>
      <c r="H255">
        <v>0</v>
      </c>
      <c r="I255">
        <v>1014980</v>
      </c>
      <c r="J255" t="s">
        <v>126</v>
      </c>
      <c r="K255" t="s">
        <v>75</v>
      </c>
      <c r="L255" s="1">
        <v>33482</v>
      </c>
      <c r="M255">
        <v>30</v>
      </c>
      <c r="N255" t="s">
        <v>654</v>
      </c>
      <c r="O255" t="s">
        <v>56</v>
      </c>
      <c r="P255" t="s">
        <v>43</v>
      </c>
      <c r="Q255" s="1">
        <v>44494</v>
      </c>
      <c r="R255" s="1"/>
      <c r="S255" t="s">
        <v>44</v>
      </c>
      <c r="T255">
        <v>0.42465753424657532</v>
      </c>
      <c r="U255" t="s">
        <v>67</v>
      </c>
      <c r="V255" t="s">
        <v>46</v>
      </c>
      <c r="W255" t="s">
        <v>68</v>
      </c>
      <c r="Y255" t="s">
        <v>49</v>
      </c>
      <c r="Z255" t="s">
        <v>60</v>
      </c>
    </row>
    <row r="256" spans="1:26" x14ac:dyDescent="0.25">
      <c r="A256">
        <v>1001414186</v>
      </c>
      <c r="B256" t="s">
        <v>655</v>
      </c>
      <c r="C256" t="s">
        <v>35</v>
      </c>
      <c r="D256" t="s">
        <v>36</v>
      </c>
      <c r="E256" t="s">
        <v>656</v>
      </c>
      <c r="F256" t="s">
        <v>62</v>
      </c>
      <c r="G256">
        <v>908526</v>
      </c>
      <c r="H256">
        <v>0</v>
      </c>
      <c r="I256">
        <v>1014980</v>
      </c>
      <c r="J256" t="s">
        <v>39</v>
      </c>
      <c r="K256" t="s">
        <v>63</v>
      </c>
      <c r="L256" s="1">
        <v>35350</v>
      </c>
      <c r="M256">
        <v>25</v>
      </c>
      <c r="N256" t="s">
        <v>657</v>
      </c>
      <c r="O256" t="s">
        <v>155</v>
      </c>
      <c r="P256" t="s">
        <v>43</v>
      </c>
      <c r="Q256" s="1">
        <v>44494</v>
      </c>
      <c r="R256" s="1"/>
      <c r="S256" t="s">
        <v>44</v>
      </c>
      <c r="T256">
        <v>0.42465753424657532</v>
      </c>
      <c r="U256" t="s">
        <v>67</v>
      </c>
      <c r="V256" t="s">
        <v>46</v>
      </c>
      <c r="W256" t="s">
        <v>68</v>
      </c>
      <c r="Y256" t="s">
        <v>49</v>
      </c>
      <c r="Z256" t="s">
        <v>69</v>
      </c>
    </row>
    <row r="257" spans="1:26" x14ac:dyDescent="0.25">
      <c r="A257">
        <v>1036394333</v>
      </c>
      <c r="B257" t="s">
        <v>658</v>
      </c>
      <c r="C257" t="s">
        <v>74</v>
      </c>
      <c r="D257" t="s">
        <v>52</v>
      </c>
      <c r="E257" t="s">
        <v>659</v>
      </c>
      <c r="F257" t="s">
        <v>62</v>
      </c>
      <c r="G257">
        <v>2600000</v>
      </c>
      <c r="H257">
        <v>2100000</v>
      </c>
      <c r="I257">
        <v>2600000</v>
      </c>
      <c r="J257" t="s">
        <v>39</v>
      </c>
      <c r="K257" t="s">
        <v>63</v>
      </c>
      <c r="L257" s="1">
        <v>32549</v>
      </c>
      <c r="M257">
        <v>32</v>
      </c>
      <c r="N257" t="s">
        <v>660</v>
      </c>
      <c r="O257" t="s">
        <v>56</v>
      </c>
      <c r="P257" t="s">
        <v>43</v>
      </c>
      <c r="Q257" s="1">
        <v>44502</v>
      </c>
      <c r="R257" s="1"/>
      <c r="S257" t="s">
        <v>44</v>
      </c>
      <c r="T257">
        <v>0.40273972602739727</v>
      </c>
      <c r="U257" t="s">
        <v>67</v>
      </c>
      <c r="V257" t="s">
        <v>46</v>
      </c>
      <c r="W257" t="s">
        <v>59</v>
      </c>
      <c r="Y257" t="s">
        <v>49</v>
      </c>
      <c r="Z257" t="s">
        <v>60</v>
      </c>
    </row>
    <row r="258" spans="1:26" x14ac:dyDescent="0.25">
      <c r="A258">
        <v>1026156091</v>
      </c>
      <c r="B258" t="s">
        <v>661</v>
      </c>
      <c r="C258" t="s">
        <v>35</v>
      </c>
      <c r="D258" t="s">
        <v>36</v>
      </c>
      <c r="E258" t="s">
        <v>37</v>
      </c>
      <c r="F258" t="s">
        <v>38</v>
      </c>
      <c r="G258">
        <v>908526</v>
      </c>
      <c r="H258">
        <v>0</v>
      </c>
      <c r="I258">
        <v>1014980</v>
      </c>
      <c r="J258" t="s">
        <v>86</v>
      </c>
      <c r="K258" t="s">
        <v>72</v>
      </c>
      <c r="L258" s="1">
        <v>35221</v>
      </c>
      <c r="M258">
        <v>25</v>
      </c>
      <c r="N258" t="s">
        <v>662</v>
      </c>
      <c r="O258" t="s">
        <v>56</v>
      </c>
      <c r="P258" t="s">
        <v>43</v>
      </c>
      <c r="Q258" s="1">
        <v>44502</v>
      </c>
      <c r="R258" s="1"/>
      <c r="S258" t="s">
        <v>44</v>
      </c>
      <c r="T258">
        <v>0.40273972602739727</v>
      </c>
      <c r="U258" t="s">
        <v>67</v>
      </c>
      <c r="V258" t="s">
        <v>46</v>
      </c>
      <c r="W258" t="s">
        <v>68</v>
      </c>
      <c r="Y258" t="s">
        <v>49</v>
      </c>
      <c r="Z258" t="s">
        <v>69</v>
      </c>
    </row>
    <row r="259" spans="1:26" x14ac:dyDescent="0.25">
      <c r="A259">
        <v>1026159272</v>
      </c>
      <c r="B259" t="s">
        <v>663</v>
      </c>
      <c r="C259" t="s">
        <v>35</v>
      </c>
      <c r="D259" t="s">
        <v>36</v>
      </c>
      <c r="E259" t="s">
        <v>37</v>
      </c>
      <c r="F259" t="s">
        <v>38</v>
      </c>
      <c r="G259">
        <v>908526</v>
      </c>
      <c r="H259">
        <v>0</v>
      </c>
      <c r="I259">
        <v>1014980</v>
      </c>
      <c r="J259" t="s">
        <v>39</v>
      </c>
      <c r="K259" t="s">
        <v>80</v>
      </c>
      <c r="L259" s="1">
        <v>35876</v>
      </c>
      <c r="M259">
        <v>23</v>
      </c>
      <c r="N259" t="s">
        <v>664</v>
      </c>
      <c r="O259" t="s">
        <v>56</v>
      </c>
      <c r="P259" t="s">
        <v>665</v>
      </c>
      <c r="Q259" s="1">
        <v>44502</v>
      </c>
      <c r="R259" s="1"/>
      <c r="S259" t="s">
        <v>44</v>
      </c>
      <c r="T259">
        <v>0.40273972602739727</v>
      </c>
      <c r="U259" t="s">
        <v>67</v>
      </c>
      <c r="V259" t="s">
        <v>46</v>
      </c>
      <c r="W259" t="s">
        <v>68</v>
      </c>
      <c r="Y259" t="s">
        <v>49</v>
      </c>
      <c r="Z259" t="s">
        <v>69</v>
      </c>
    </row>
    <row r="260" spans="1:26" x14ac:dyDescent="0.25">
      <c r="A260">
        <v>1001808349</v>
      </c>
      <c r="B260" t="s">
        <v>666</v>
      </c>
      <c r="C260" t="s">
        <v>35</v>
      </c>
      <c r="D260" t="s">
        <v>649</v>
      </c>
      <c r="E260" t="s">
        <v>37</v>
      </c>
      <c r="F260" t="s">
        <v>38</v>
      </c>
      <c r="G260">
        <v>908526</v>
      </c>
      <c r="H260">
        <v>0</v>
      </c>
      <c r="I260">
        <v>1014980</v>
      </c>
      <c r="J260" t="s">
        <v>161</v>
      </c>
      <c r="K260" t="s">
        <v>72</v>
      </c>
      <c r="L260" s="1">
        <v>36540</v>
      </c>
      <c r="M260">
        <v>21</v>
      </c>
      <c r="N260" t="s">
        <v>599</v>
      </c>
      <c r="O260" t="s">
        <v>56</v>
      </c>
      <c r="P260" t="s">
        <v>43</v>
      </c>
      <c r="Q260" s="1">
        <v>44502</v>
      </c>
      <c r="R260" s="1"/>
      <c r="S260" t="s">
        <v>44</v>
      </c>
      <c r="T260">
        <v>0.40273972602739727</v>
      </c>
      <c r="U260" t="s">
        <v>67</v>
      </c>
      <c r="V260" t="s">
        <v>46</v>
      </c>
      <c r="W260" t="s">
        <v>68</v>
      </c>
      <c r="Y260" t="s">
        <v>49</v>
      </c>
      <c r="Z260" t="s">
        <v>69</v>
      </c>
    </row>
    <row r="261" spans="1:26" x14ac:dyDescent="0.25">
      <c r="A261">
        <v>70510673</v>
      </c>
      <c r="B261" t="s">
        <v>667</v>
      </c>
      <c r="C261" t="s">
        <v>35</v>
      </c>
      <c r="D261" t="s">
        <v>649</v>
      </c>
      <c r="E261" t="s">
        <v>37</v>
      </c>
      <c r="F261" t="s">
        <v>38</v>
      </c>
      <c r="G261">
        <v>908526</v>
      </c>
      <c r="H261">
        <v>0</v>
      </c>
      <c r="I261">
        <v>1014980</v>
      </c>
      <c r="J261" t="s">
        <v>39</v>
      </c>
      <c r="K261" t="s">
        <v>143</v>
      </c>
      <c r="L261" s="1">
        <v>22426</v>
      </c>
      <c r="M261">
        <v>60</v>
      </c>
      <c r="N261" t="s">
        <v>668</v>
      </c>
      <c r="O261" t="s">
        <v>56</v>
      </c>
      <c r="P261" t="s">
        <v>43</v>
      </c>
      <c r="Q261" s="1">
        <v>44502</v>
      </c>
      <c r="R261" s="1"/>
      <c r="S261" t="s">
        <v>44</v>
      </c>
      <c r="T261">
        <v>0.40273972602739727</v>
      </c>
      <c r="U261" t="s">
        <v>67</v>
      </c>
      <c r="V261" t="s">
        <v>46</v>
      </c>
      <c r="W261" t="s">
        <v>47</v>
      </c>
      <c r="Y261" t="s">
        <v>49</v>
      </c>
      <c r="Z261" t="s">
        <v>50</v>
      </c>
    </row>
    <row r="262" spans="1:26" x14ac:dyDescent="0.25">
      <c r="A262">
        <v>1026151906</v>
      </c>
      <c r="B262" t="s">
        <v>669</v>
      </c>
      <c r="C262" t="s">
        <v>35</v>
      </c>
      <c r="D262" t="s">
        <v>36</v>
      </c>
      <c r="E262" t="s">
        <v>37</v>
      </c>
      <c r="F262" t="s">
        <v>38</v>
      </c>
      <c r="G262">
        <v>908526</v>
      </c>
      <c r="H262">
        <v>0</v>
      </c>
      <c r="I262">
        <v>1014980</v>
      </c>
      <c r="J262" t="s">
        <v>39</v>
      </c>
      <c r="K262" t="s">
        <v>63</v>
      </c>
      <c r="L262" s="1">
        <v>34617</v>
      </c>
      <c r="M262">
        <v>27</v>
      </c>
      <c r="N262" t="s">
        <v>670</v>
      </c>
      <c r="O262" t="s">
        <v>56</v>
      </c>
      <c r="P262" t="s">
        <v>57</v>
      </c>
      <c r="Q262" s="1">
        <v>44502</v>
      </c>
      <c r="R262" s="1"/>
      <c r="S262" t="s">
        <v>44</v>
      </c>
      <c r="T262">
        <v>0.40273972602739727</v>
      </c>
      <c r="U262" t="s">
        <v>67</v>
      </c>
      <c r="V262" t="s">
        <v>46</v>
      </c>
      <c r="W262" t="s">
        <v>68</v>
      </c>
      <c r="Y262" t="s">
        <v>49</v>
      </c>
      <c r="Z262" t="s">
        <v>69</v>
      </c>
    </row>
    <row r="263" spans="1:26" x14ac:dyDescent="0.25">
      <c r="A263">
        <v>1037634468</v>
      </c>
      <c r="B263" t="s">
        <v>671</v>
      </c>
      <c r="C263" t="s">
        <v>35</v>
      </c>
      <c r="D263" t="s">
        <v>36</v>
      </c>
      <c r="E263" t="s">
        <v>111</v>
      </c>
      <c r="F263" t="s">
        <v>38</v>
      </c>
      <c r="G263">
        <v>908526</v>
      </c>
      <c r="H263">
        <v>0</v>
      </c>
      <c r="I263">
        <v>1014980</v>
      </c>
      <c r="J263" t="s">
        <v>86</v>
      </c>
      <c r="L263" s="1">
        <v>34615</v>
      </c>
      <c r="M263">
        <v>27</v>
      </c>
      <c r="N263" t="s">
        <v>672</v>
      </c>
      <c r="O263" t="s">
        <v>673</v>
      </c>
      <c r="P263" t="s">
        <v>57</v>
      </c>
      <c r="Q263" s="1">
        <v>44504</v>
      </c>
      <c r="R263" s="1"/>
      <c r="S263" t="s">
        <v>111</v>
      </c>
      <c r="T263">
        <v>0.39726027397260272</v>
      </c>
      <c r="U263" t="s">
        <v>67</v>
      </c>
      <c r="V263" t="s">
        <v>46</v>
      </c>
      <c r="W263" t="s">
        <v>68</v>
      </c>
      <c r="Y263" t="s">
        <v>49</v>
      </c>
      <c r="Z263" t="s">
        <v>69</v>
      </c>
    </row>
    <row r="264" spans="1:26" x14ac:dyDescent="0.25">
      <c r="A264">
        <v>71392560</v>
      </c>
      <c r="B264" t="s">
        <v>674</v>
      </c>
      <c r="C264" t="s">
        <v>74</v>
      </c>
      <c r="D264" t="s">
        <v>36</v>
      </c>
      <c r="E264" t="s">
        <v>37</v>
      </c>
      <c r="F264" t="s">
        <v>38</v>
      </c>
      <c r="G264">
        <v>908526</v>
      </c>
      <c r="H264">
        <v>0</v>
      </c>
      <c r="I264">
        <v>1014980</v>
      </c>
      <c r="J264" t="s">
        <v>39</v>
      </c>
      <c r="K264" t="s">
        <v>75</v>
      </c>
      <c r="L264" s="1">
        <v>25702</v>
      </c>
      <c r="M264">
        <v>51</v>
      </c>
      <c r="N264" t="s">
        <v>675</v>
      </c>
      <c r="O264" t="s">
        <v>56</v>
      </c>
      <c r="P264" t="s">
        <v>57</v>
      </c>
      <c r="Q264" s="1">
        <v>44511</v>
      </c>
      <c r="R264" s="1"/>
      <c r="S264" t="s">
        <v>676</v>
      </c>
      <c r="T264">
        <v>0.37808219178082192</v>
      </c>
      <c r="U264" t="s">
        <v>67</v>
      </c>
      <c r="V264" t="s">
        <v>46</v>
      </c>
      <c r="W264" t="s">
        <v>47</v>
      </c>
      <c r="Y264" t="s">
        <v>49</v>
      </c>
      <c r="Z264" t="s">
        <v>109</v>
      </c>
    </row>
    <row r="265" spans="1:26" x14ac:dyDescent="0.25">
      <c r="A265">
        <v>1026130812</v>
      </c>
      <c r="B265" t="s">
        <v>677</v>
      </c>
      <c r="C265" t="s">
        <v>74</v>
      </c>
      <c r="D265" t="s">
        <v>36</v>
      </c>
      <c r="E265" t="s">
        <v>37</v>
      </c>
      <c r="F265" t="s">
        <v>38</v>
      </c>
      <c r="G265">
        <v>908526</v>
      </c>
      <c r="H265">
        <v>0</v>
      </c>
      <c r="I265">
        <v>1014980</v>
      </c>
      <c r="J265" t="s">
        <v>39</v>
      </c>
      <c r="K265" t="s">
        <v>63</v>
      </c>
      <c r="L265" s="1">
        <v>31270</v>
      </c>
      <c r="M265">
        <v>36</v>
      </c>
      <c r="N265" t="s">
        <v>56</v>
      </c>
      <c r="O265" t="s">
        <v>56</v>
      </c>
      <c r="P265" t="s">
        <v>57</v>
      </c>
      <c r="Q265" s="1">
        <v>44511</v>
      </c>
      <c r="R265" s="1"/>
      <c r="S265" t="s">
        <v>676</v>
      </c>
      <c r="T265">
        <v>0.37808219178082192</v>
      </c>
      <c r="U265" t="s">
        <v>67</v>
      </c>
      <c r="V265" t="s">
        <v>46</v>
      </c>
      <c r="W265" t="s">
        <v>59</v>
      </c>
      <c r="Y265" t="s">
        <v>49</v>
      </c>
      <c r="Z265" t="s">
        <v>60</v>
      </c>
    </row>
    <row r="266" spans="1:26" x14ac:dyDescent="0.25">
      <c r="A266">
        <v>1026157370</v>
      </c>
      <c r="B266" t="s">
        <v>678</v>
      </c>
      <c r="C266" t="s">
        <v>35</v>
      </c>
      <c r="D266" t="s">
        <v>36</v>
      </c>
      <c r="E266" t="s">
        <v>37</v>
      </c>
      <c r="F266" t="s">
        <v>38</v>
      </c>
      <c r="G266">
        <v>908526</v>
      </c>
      <c r="H266">
        <v>0</v>
      </c>
      <c r="I266">
        <v>1014980</v>
      </c>
      <c r="J266" t="s">
        <v>39</v>
      </c>
      <c r="K266" t="s">
        <v>279</v>
      </c>
      <c r="L266" s="1">
        <v>35513</v>
      </c>
      <c r="M266">
        <v>25</v>
      </c>
      <c r="N266" t="s">
        <v>92</v>
      </c>
      <c r="O266" t="s">
        <v>56</v>
      </c>
      <c r="P266" t="s">
        <v>665</v>
      </c>
      <c r="Q266" s="1">
        <v>44511</v>
      </c>
      <c r="R266" s="1"/>
      <c r="S266" t="s">
        <v>676</v>
      </c>
      <c r="T266">
        <v>0.37808219178082192</v>
      </c>
      <c r="U266" t="s">
        <v>67</v>
      </c>
      <c r="V266" t="s">
        <v>46</v>
      </c>
      <c r="W266" t="s">
        <v>68</v>
      </c>
      <c r="Y266" t="s">
        <v>49</v>
      </c>
      <c r="Z266" t="s">
        <v>69</v>
      </c>
    </row>
    <row r="267" spans="1:26" x14ac:dyDescent="0.25">
      <c r="A267">
        <v>1040262096</v>
      </c>
      <c r="B267" t="s">
        <v>679</v>
      </c>
      <c r="C267" t="s">
        <v>35</v>
      </c>
      <c r="D267" t="s">
        <v>36</v>
      </c>
      <c r="E267" t="s">
        <v>37</v>
      </c>
      <c r="F267" t="s">
        <v>38</v>
      </c>
      <c r="G267">
        <v>908526</v>
      </c>
      <c r="H267">
        <v>0</v>
      </c>
      <c r="I267">
        <v>1014980</v>
      </c>
      <c r="J267" t="s">
        <v>86</v>
      </c>
      <c r="K267" t="s">
        <v>72</v>
      </c>
      <c r="L267" s="1">
        <v>36218</v>
      </c>
      <c r="M267">
        <v>23</v>
      </c>
      <c r="N267" t="s">
        <v>56</v>
      </c>
      <c r="O267" t="s">
        <v>56</v>
      </c>
      <c r="P267" t="s">
        <v>57</v>
      </c>
      <c r="Q267" s="1">
        <v>44511</v>
      </c>
      <c r="R267" s="1"/>
      <c r="S267" t="s">
        <v>676</v>
      </c>
      <c r="T267">
        <v>0.37808219178082192</v>
      </c>
      <c r="U267" t="s">
        <v>67</v>
      </c>
      <c r="V267" t="s">
        <v>46</v>
      </c>
      <c r="W267" t="s">
        <v>68</v>
      </c>
      <c r="Y267" t="s">
        <v>49</v>
      </c>
      <c r="Z267" t="s">
        <v>69</v>
      </c>
    </row>
    <row r="268" spans="1:26" x14ac:dyDescent="0.25">
      <c r="A268">
        <v>1120581482</v>
      </c>
      <c r="B268" t="s">
        <v>680</v>
      </c>
      <c r="C268" t="s">
        <v>35</v>
      </c>
      <c r="D268" t="s">
        <v>36</v>
      </c>
      <c r="E268" t="s">
        <v>37</v>
      </c>
      <c r="F268" t="s">
        <v>38</v>
      </c>
      <c r="G268">
        <v>908526</v>
      </c>
      <c r="H268">
        <v>0</v>
      </c>
      <c r="I268">
        <v>1014980</v>
      </c>
      <c r="J268" t="s">
        <v>71</v>
      </c>
      <c r="K268" t="s">
        <v>80</v>
      </c>
      <c r="L268" s="1">
        <v>35781</v>
      </c>
      <c r="M268">
        <v>24</v>
      </c>
      <c r="N268" t="s">
        <v>56</v>
      </c>
      <c r="O268" t="s">
        <v>56</v>
      </c>
      <c r="P268" t="s">
        <v>57</v>
      </c>
      <c r="Q268" s="1">
        <v>44511</v>
      </c>
      <c r="R268" s="1"/>
      <c r="S268" t="s">
        <v>676</v>
      </c>
      <c r="T268">
        <v>0.37808219178082192</v>
      </c>
      <c r="U268" t="s">
        <v>67</v>
      </c>
      <c r="V268" t="s">
        <v>46</v>
      </c>
      <c r="W268" t="s">
        <v>68</v>
      </c>
      <c r="Y268" t="s">
        <v>49</v>
      </c>
      <c r="Z268" t="s">
        <v>69</v>
      </c>
    </row>
    <row r="269" spans="1:26" x14ac:dyDescent="0.25">
      <c r="A269">
        <v>1039420681</v>
      </c>
      <c r="B269" t="s">
        <v>681</v>
      </c>
      <c r="C269" t="s">
        <v>35</v>
      </c>
      <c r="D269" t="s">
        <v>36</v>
      </c>
      <c r="E269" t="s">
        <v>37</v>
      </c>
      <c r="F269" t="s">
        <v>38</v>
      </c>
      <c r="G269">
        <v>908526</v>
      </c>
      <c r="H269">
        <v>0</v>
      </c>
      <c r="I269">
        <v>1014980</v>
      </c>
      <c r="J269" t="s">
        <v>39</v>
      </c>
      <c r="K269" t="s">
        <v>80</v>
      </c>
      <c r="L269" s="1">
        <v>32416</v>
      </c>
      <c r="M269">
        <v>33</v>
      </c>
      <c r="N269" t="s">
        <v>152</v>
      </c>
      <c r="O269" t="s">
        <v>186</v>
      </c>
      <c r="P269" t="s">
        <v>57</v>
      </c>
      <c r="Q269" s="1">
        <v>44511</v>
      </c>
      <c r="R269" s="1"/>
      <c r="S269" t="s">
        <v>676</v>
      </c>
      <c r="T269">
        <v>0.37808219178082192</v>
      </c>
      <c r="U269" t="s">
        <v>67</v>
      </c>
      <c r="V269" t="s">
        <v>46</v>
      </c>
      <c r="W269" t="s">
        <v>59</v>
      </c>
      <c r="Y269" t="s">
        <v>49</v>
      </c>
      <c r="Z269" t="s">
        <v>60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335ED-501F-471A-BE35-4C966D50C235}">
  <sheetPr codeName="Sheet3"/>
  <dimension ref="A1:N13"/>
  <sheetViews>
    <sheetView showGridLines="0" zoomScale="115" zoomScaleNormal="115" workbookViewId="0">
      <selection activeCell="E3" sqref="E3"/>
    </sheetView>
  </sheetViews>
  <sheetFormatPr defaultRowHeight="15" x14ac:dyDescent="0.25"/>
  <cols>
    <col min="1" max="1" width="17.7109375" bestFit="1" customWidth="1"/>
    <col min="2" max="2" width="13.28515625" bestFit="1" customWidth="1"/>
    <col min="3" max="3" width="14.7109375" bestFit="1" customWidth="1"/>
  </cols>
  <sheetData>
    <row r="1" spans="1:14" x14ac:dyDescent="0.25">
      <c r="A1" t="s">
        <v>1</v>
      </c>
    </row>
    <row r="2" spans="1:14" x14ac:dyDescent="0.25">
      <c r="A2" s="7" t="s">
        <v>686</v>
      </c>
      <c r="B2" s="7" t="s">
        <v>687</v>
      </c>
      <c r="C2" s="7" t="s">
        <v>688</v>
      </c>
      <c r="D2" s="7" t="s">
        <v>0</v>
      </c>
      <c r="E2" s="7" t="s">
        <v>689</v>
      </c>
      <c r="F2" s="7" t="s">
        <v>690</v>
      </c>
      <c r="G2" s="7" t="s">
        <v>691</v>
      </c>
    </row>
    <row r="3" spans="1:14" ht="53.25" customHeight="1" x14ac:dyDescent="0.25">
      <c r="A3" s="16" t="s">
        <v>2</v>
      </c>
      <c r="B3" s="16"/>
      <c r="C3" s="16"/>
      <c r="D3" s="16"/>
      <c r="E3" s="14" t="s">
        <v>692</v>
      </c>
      <c r="F3" s="15" t="s">
        <v>706</v>
      </c>
      <c r="G3" s="15"/>
      <c r="H3" s="15"/>
      <c r="I3" s="15"/>
      <c r="J3" s="15"/>
      <c r="K3" s="15"/>
      <c r="L3" s="15"/>
      <c r="M3" s="15"/>
      <c r="N3" s="13"/>
    </row>
    <row r="4" spans="1:14" x14ac:dyDescent="0.25">
      <c r="A4" s="21" t="s">
        <v>3</v>
      </c>
      <c r="B4" s="21"/>
      <c r="C4" s="21"/>
      <c r="D4" s="21"/>
      <c r="E4" s="8" t="s">
        <v>692</v>
      </c>
      <c r="F4" s="21" t="s">
        <v>707</v>
      </c>
      <c r="G4" s="21"/>
      <c r="H4" s="21"/>
      <c r="I4" s="21"/>
      <c r="J4" s="21"/>
      <c r="K4" s="21"/>
      <c r="L4" s="21"/>
      <c r="M4" s="21"/>
      <c r="N4" s="13"/>
    </row>
    <row r="5" spans="1:14" x14ac:dyDescent="0.25">
      <c r="A5" s="21" t="s">
        <v>4</v>
      </c>
      <c r="B5" s="21"/>
      <c r="C5" s="21"/>
      <c r="D5" s="21"/>
      <c r="E5" s="8" t="s">
        <v>692</v>
      </c>
      <c r="F5" s="21" t="s">
        <v>708</v>
      </c>
      <c r="G5" s="21"/>
      <c r="H5" s="21"/>
      <c r="I5" s="21"/>
      <c r="J5" s="21"/>
      <c r="K5" s="21"/>
      <c r="L5" s="21"/>
      <c r="M5" s="21"/>
      <c r="N5" s="21"/>
    </row>
    <row r="6" spans="1:14" x14ac:dyDescent="0.25">
      <c r="A6" s="21" t="s">
        <v>693</v>
      </c>
      <c r="B6" s="21"/>
      <c r="C6" s="21"/>
      <c r="D6" s="21"/>
      <c r="E6" s="8" t="s">
        <v>48</v>
      </c>
      <c r="F6" s="21" t="s">
        <v>709</v>
      </c>
      <c r="G6" s="21"/>
      <c r="H6" s="21"/>
      <c r="I6" s="21"/>
      <c r="J6" s="21"/>
      <c r="K6" s="21"/>
      <c r="L6" s="21"/>
      <c r="M6" s="21"/>
      <c r="N6" s="21"/>
    </row>
    <row r="7" spans="1:14" ht="16.5" customHeight="1" x14ac:dyDescent="0.25">
      <c r="A7" s="21" t="s">
        <v>694</v>
      </c>
      <c r="B7" s="21"/>
      <c r="C7" s="21"/>
      <c r="D7" s="21"/>
      <c r="E7" s="8" t="s">
        <v>48</v>
      </c>
      <c r="F7" s="21" t="s">
        <v>710</v>
      </c>
      <c r="G7" s="21"/>
      <c r="H7" s="21"/>
      <c r="I7" s="21"/>
      <c r="J7" s="21"/>
      <c r="K7" s="21"/>
      <c r="L7" s="21"/>
      <c r="M7" s="21"/>
      <c r="N7" s="21"/>
    </row>
    <row r="8" spans="1:14" x14ac:dyDescent="0.25">
      <c r="A8" s="21" t="s">
        <v>696</v>
      </c>
      <c r="B8" s="21"/>
      <c r="C8" s="21"/>
      <c r="D8" s="21"/>
      <c r="E8" s="8" t="s">
        <v>48</v>
      </c>
      <c r="F8" s="15" t="s">
        <v>712</v>
      </c>
      <c r="G8" s="16"/>
      <c r="H8" s="16"/>
      <c r="I8" s="16"/>
      <c r="J8" s="16"/>
      <c r="K8" s="16"/>
      <c r="L8" s="16"/>
      <c r="M8" s="16"/>
      <c r="N8" s="16"/>
    </row>
    <row r="9" spans="1:14" x14ac:dyDescent="0.25">
      <c r="A9" s="17"/>
      <c r="B9" s="17"/>
      <c r="C9" s="17"/>
      <c r="D9" s="17"/>
      <c r="E9" s="18"/>
      <c r="F9" s="16"/>
      <c r="G9" s="16"/>
      <c r="H9" s="16"/>
      <c r="I9" s="16"/>
      <c r="J9" s="16"/>
      <c r="K9" s="16"/>
      <c r="L9" s="16"/>
      <c r="M9" s="16"/>
      <c r="N9" s="16"/>
    </row>
    <row r="10" spans="1:14" x14ac:dyDescent="0.25">
      <c r="A10" s="19"/>
      <c r="B10" s="19"/>
      <c r="C10" s="19"/>
      <c r="D10" s="19"/>
      <c r="E10" s="20"/>
      <c r="F10" s="16"/>
      <c r="G10" s="16"/>
      <c r="H10" s="16"/>
      <c r="I10" s="16"/>
      <c r="J10" s="16"/>
      <c r="K10" s="16"/>
      <c r="L10" s="16"/>
      <c r="M10" s="16"/>
      <c r="N10" s="16"/>
    </row>
    <row r="11" spans="1:14" x14ac:dyDescent="0.25">
      <c r="A11" s="21" t="s">
        <v>695</v>
      </c>
      <c r="B11" s="21"/>
      <c r="C11" s="21"/>
      <c r="D11" s="21"/>
      <c r="E11" s="8" t="s">
        <v>48</v>
      </c>
      <c r="F11" s="15" t="s">
        <v>711</v>
      </c>
      <c r="G11" s="16"/>
      <c r="H11" s="16"/>
      <c r="I11" s="16"/>
      <c r="J11" s="16"/>
      <c r="K11" s="16"/>
      <c r="L11" s="16"/>
      <c r="M11" s="16"/>
      <c r="N11" s="16"/>
    </row>
    <row r="12" spans="1:14" x14ac:dyDescent="0.25">
      <c r="F12" s="16"/>
      <c r="G12" s="16"/>
      <c r="H12" s="16"/>
      <c r="I12" s="16"/>
      <c r="J12" s="16"/>
      <c r="K12" s="16"/>
      <c r="L12" s="16"/>
      <c r="M12" s="16"/>
      <c r="N12" s="16"/>
    </row>
    <row r="13" spans="1:14" x14ac:dyDescent="0.25">
      <c r="F13" s="16"/>
      <c r="G13" s="16"/>
      <c r="H13" s="16"/>
      <c r="I13" s="16"/>
      <c r="J13" s="16"/>
      <c r="K13" s="16"/>
      <c r="L13" s="16"/>
      <c r="M13" s="16"/>
      <c r="N13" s="16"/>
    </row>
  </sheetData>
  <mergeCells count="15">
    <mergeCell ref="F11:N13"/>
    <mergeCell ref="A9:E10"/>
    <mergeCell ref="F7:N7"/>
    <mergeCell ref="F8:N10"/>
    <mergeCell ref="F3:M3"/>
    <mergeCell ref="F4:M4"/>
    <mergeCell ref="F5:N5"/>
    <mergeCell ref="F6:N6"/>
    <mergeCell ref="A8:D8"/>
    <mergeCell ref="A3:D3"/>
    <mergeCell ref="A4:D4"/>
    <mergeCell ref="A5:D5"/>
    <mergeCell ref="A6:D6"/>
    <mergeCell ref="A7:D7"/>
    <mergeCell ref="A11:D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CC508-561D-484A-B4D0-4642DC9E5A28}">
  <sheetPr codeName="Sheet7"/>
  <dimension ref="A3:I43"/>
  <sheetViews>
    <sheetView workbookViewId="0">
      <selection activeCell="B3" sqref="B3"/>
    </sheetView>
  </sheetViews>
  <sheetFormatPr defaultRowHeight="15" x14ac:dyDescent="0.25"/>
  <cols>
    <col min="1" max="1" width="13.5703125" bestFit="1" customWidth="1"/>
    <col min="2" max="2" width="15.7109375" bestFit="1" customWidth="1"/>
    <col min="3" max="3" width="17.42578125" bestFit="1" customWidth="1"/>
    <col min="4" max="4" width="20.85546875" bestFit="1" customWidth="1"/>
    <col min="5" max="5" width="13.7109375" bestFit="1" customWidth="1"/>
    <col min="6" max="6" width="10" bestFit="1" customWidth="1"/>
    <col min="7" max="7" width="10.5703125" bestFit="1" customWidth="1"/>
    <col min="8" max="8" width="14.28515625" bestFit="1" customWidth="1"/>
    <col min="9" max="9" width="13.140625" bestFit="1" customWidth="1"/>
    <col min="10" max="10" width="11.42578125" bestFit="1" customWidth="1"/>
    <col min="11" max="11" width="8" bestFit="1" customWidth="1"/>
    <col min="12" max="12" width="13.28515625" bestFit="1" customWidth="1"/>
    <col min="13" max="13" width="13.140625" bestFit="1" customWidth="1"/>
    <col min="14" max="48" width="3" bestFit="1" customWidth="1"/>
    <col min="49" max="49" width="13.140625" bestFit="1" customWidth="1"/>
    <col min="50" max="52" width="3" bestFit="1" customWidth="1"/>
    <col min="53" max="53" width="13.140625" bestFit="1" customWidth="1"/>
    <col min="54" max="55" width="12.42578125" bestFit="1" customWidth="1"/>
    <col min="56" max="56" width="14.7109375" bestFit="1" customWidth="1"/>
    <col min="57" max="57" width="26" bestFit="1" customWidth="1"/>
    <col min="58" max="58" width="44.28515625" bestFit="1" customWidth="1"/>
    <col min="59" max="59" width="29.42578125" bestFit="1" customWidth="1"/>
    <col min="60" max="60" width="19.5703125" bestFit="1" customWidth="1"/>
    <col min="61" max="61" width="14.42578125" bestFit="1" customWidth="1"/>
    <col min="62" max="62" width="25.5703125" bestFit="1" customWidth="1"/>
    <col min="63" max="63" width="20.140625" bestFit="1" customWidth="1"/>
    <col min="64" max="64" width="19.28515625" bestFit="1" customWidth="1"/>
    <col min="65" max="65" width="14" bestFit="1" customWidth="1"/>
    <col min="66" max="66" width="9" bestFit="1" customWidth="1"/>
    <col min="67" max="67" width="16.28515625" bestFit="1" customWidth="1"/>
    <col min="68" max="68" width="25.5703125" bestFit="1" customWidth="1"/>
    <col min="69" max="69" width="23" bestFit="1" customWidth="1"/>
    <col min="70" max="70" width="24.28515625" bestFit="1" customWidth="1"/>
    <col min="71" max="71" width="10.5703125" bestFit="1" customWidth="1"/>
    <col min="72" max="72" width="13.140625" bestFit="1" customWidth="1"/>
    <col min="73" max="217" width="16.28515625" bestFit="1" customWidth="1"/>
    <col min="218" max="218" width="11.28515625" bestFit="1" customWidth="1"/>
    <col min="219" max="366" width="16.28515625" bestFit="1" customWidth="1"/>
    <col min="367" max="367" width="11.28515625" bestFit="1" customWidth="1"/>
    <col min="368" max="374" width="8.7109375" bestFit="1" customWidth="1"/>
    <col min="375" max="396" width="9.7109375" bestFit="1" customWidth="1"/>
    <col min="397" max="405" width="8.7109375" bestFit="1" customWidth="1"/>
    <col min="406" max="424" width="9.7109375" bestFit="1" customWidth="1"/>
    <col min="425" max="433" width="8.7109375" bestFit="1" customWidth="1"/>
    <col min="434" max="455" width="9.7109375" bestFit="1" customWidth="1"/>
    <col min="456" max="464" width="8.7109375" bestFit="1" customWidth="1"/>
    <col min="465" max="485" width="9.7109375" bestFit="1" customWidth="1"/>
    <col min="486" max="494" width="8.7109375" bestFit="1" customWidth="1"/>
    <col min="495" max="516" width="9.7109375" bestFit="1" customWidth="1"/>
    <col min="517" max="525" width="8.7109375" bestFit="1" customWidth="1"/>
    <col min="526" max="546" width="9.7109375" bestFit="1" customWidth="1"/>
    <col min="547" max="555" width="8.7109375" bestFit="1" customWidth="1"/>
    <col min="556" max="577" width="9.7109375" bestFit="1" customWidth="1"/>
    <col min="578" max="586" width="8.7109375" bestFit="1" customWidth="1"/>
    <col min="587" max="608" width="9.7109375" bestFit="1" customWidth="1"/>
    <col min="609" max="617" width="8.7109375" bestFit="1" customWidth="1"/>
    <col min="618" max="647" width="9.7109375" bestFit="1" customWidth="1"/>
    <col min="648" max="669" width="10.7109375" bestFit="1" customWidth="1"/>
    <col min="670" max="678" width="9.7109375" bestFit="1" customWidth="1"/>
    <col min="679" max="699" width="10.7109375" bestFit="1" customWidth="1"/>
    <col min="700" max="708" width="9.7109375" bestFit="1" customWidth="1"/>
    <col min="709" max="730" width="10.7109375" bestFit="1" customWidth="1"/>
    <col min="731" max="739" width="8.7109375" bestFit="1" customWidth="1"/>
    <col min="740" max="761" width="9.7109375" bestFit="1" customWidth="1"/>
    <col min="762" max="770" width="8.7109375" bestFit="1" customWidth="1"/>
    <col min="771" max="790" width="9.7109375" bestFit="1" customWidth="1"/>
    <col min="791" max="799" width="8.7109375" bestFit="1" customWidth="1"/>
    <col min="800" max="821" width="9.7109375" bestFit="1" customWidth="1"/>
    <col min="822" max="830" width="8.7109375" bestFit="1" customWidth="1"/>
    <col min="831" max="851" width="9.7109375" bestFit="1" customWidth="1"/>
    <col min="852" max="860" width="8.7109375" bestFit="1" customWidth="1"/>
    <col min="861" max="882" width="9.7109375" bestFit="1" customWidth="1"/>
    <col min="883" max="891" width="8.7109375" bestFit="1" customWidth="1"/>
    <col min="892" max="912" width="9.7109375" bestFit="1" customWidth="1"/>
    <col min="913" max="921" width="8.7109375" bestFit="1" customWidth="1"/>
    <col min="922" max="943" width="9.7109375" bestFit="1" customWidth="1"/>
    <col min="944" max="952" width="8.7109375" bestFit="1" customWidth="1"/>
    <col min="953" max="974" width="9.7109375" bestFit="1" customWidth="1"/>
    <col min="975" max="983" width="8.7109375" bestFit="1" customWidth="1"/>
    <col min="984" max="1013" width="9.7109375" bestFit="1" customWidth="1"/>
    <col min="1014" max="1035" width="10.7109375" bestFit="1" customWidth="1"/>
    <col min="1036" max="1044" width="9.7109375" bestFit="1" customWidth="1"/>
    <col min="1045" max="1065" width="10.7109375" bestFit="1" customWidth="1"/>
    <col min="1066" max="1074" width="9.7109375" bestFit="1" customWidth="1"/>
    <col min="1075" max="1096" width="10.7109375" bestFit="1" customWidth="1"/>
    <col min="1097" max="1105" width="8.7109375" bestFit="1" customWidth="1"/>
    <col min="1106" max="1127" width="9.7109375" bestFit="1" customWidth="1"/>
    <col min="1128" max="1136" width="8.7109375" bestFit="1" customWidth="1"/>
    <col min="1137" max="1155" width="9.7109375" bestFit="1" customWidth="1"/>
    <col min="1156" max="1164" width="8.7109375" bestFit="1" customWidth="1"/>
    <col min="1165" max="1186" width="9.7109375" bestFit="1" customWidth="1"/>
    <col min="1187" max="1195" width="8.7109375" bestFit="1" customWidth="1"/>
    <col min="1196" max="1216" width="9.7109375" bestFit="1" customWidth="1"/>
    <col min="1217" max="1225" width="8.7109375" bestFit="1" customWidth="1"/>
    <col min="1226" max="1247" width="9.7109375" bestFit="1" customWidth="1"/>
    <col min="1248" max="1256" width="8.7109375" bestFit="1" customWidth="1"/>
    <col min="1257" max="1277" width="9.7109375" bestFit="1" customWidth="1"/>
    <col min="1278" max="1286" width="8.7109375" bestFit="1" customWidth="1"/>
    <col min="1287" max="1308" width="9.7109375" bestFit="1" customWidth="1"/>
    <col min="1309" max="1317" width="8.7109375" bestFit="1" customWidth="1"/>
    <col min="1318" max="1339" width="9.7109375" bestFit="1" customWidth="1"/>
    <col min="1340" max="1348" width="8.7109375" bestFit="1" customWidth="1"/>
    <col min="1349" max="1378" width="9.7109375" bestFit="1" customWidth="1"/>
    <col min="1379" max="1400" width="10.7109375" bestFit="1" customWidth="1"/>
    <col min="1401" max="1409" width="9.7109375" bestFit="1" customWidth="1"/>
    <col min="1410" max="1430" width="10.7109375" bestFit="1" customWidth="1"/>
    <col min="1431" max="1439" width="9.7109375" bestFit="1" customWidth="1"/>
    <col min="1440" max="1461" width="10.7109375" bestFit="1" customWidth="1"/>
    <col min="1462" max="1470" width="8.7109375" bestFit="1" customWidth="1"/>
    <col min="1471" max="1492" width="9.7109375" bestFit="1" customWidth="1"/>
    <col min="1493" max="1501" width="8.7109375" bestFit="1" customWidth="1"/>
    <col min="1502" max="1520" width="9.7109375" bestFit="1" customWidth="1"/>
    <col min="1521" max="1529" width="8.7109375" bestFit="1" customWidth="1"/>
    <col min="1530" max="1551" width="9.7109375" bestFit="1" customWidth="1"/>
    <col min="1552" max="1560" width="8.7109375" bestFit="1" customWidth="1"/>
    <col min="1561" max="1581" width="9.7109375" bestFit="1" customWidth="1"/>
    <col min="1582" max="1590" width="8.7109375" bestFit="1" customWidth="1"/>
    <col min="1591" max="1612" width="9.7109375" bestFit="1" customWidth="1"/>
    <col min="1613" max="1621" width="8.7109375" bestFit="1" customWidth="1"/>
    <col min="1622" max="1642" width="9.7109375" bestFit="1" customWidth="1"/>
    <col min="1643" max="1651" width="8.7109375" bestFit="1" customWidth="1"/>
    <col min="1652" max="1673" width="9.7109375" bestFit="1" customWidth="1"/>
    <col min="1674" max="1682" width="8.7109375" bestFit="1" customWidth="1"/>
    <col min="1683" max="1704" width="9.7109375" bestFit="1" customWidth="1"/>
    <col min="1705" max="1713" width="8.7109375" bestFit="1" customWidth="1"/>
    <col min="1714" max="1743" width="9.7109375" bestFit="1" customWidth="1"/>
    <col min="1744" max="1765" width="10.7109375" bestFit="1" customWidth="1"/>
    <col min="1766" max="1774" width="9.7109375" bestFit="1" customWidth="1"/>
    <col min="1775" max="1795" width="10.7109375" bestFit="1" customWidth="1"/>
    <col min="1796" max="1804" width="9.7109375" bestFit="1" customWidth="1"/>
    <col min="1805" max="1826" width="10.7109375" bestFit="1" customWidth="1"/>
    <col min="1827" max="1835" width="8.7109375" bestFit="1" customWidth="1"/>
    <col min="1836" max="1857" width="9.7109375" bestFit="1" customWidth="1"/>
    <col min="1858" max="1866" width="8.7109375" bestFit="1" customWidth="1"/>
    <col min="1867" max="1885" width="9.7109375" bestFit="1" customWidth="1"/>
    <col min="1886" max="1894" width="8.7109375" bestFit="1" customWidth="1"/>
    <col min="1895" max="1916" width="9.7109375" bestFit="1" customWidth="1"/>
    <col min="1917" max="1925" width="8.7109375" bestFit="1" customWidth="1"/>
    <col min="1926" max="1946" width="9.7109375" bestFit="1" customWidth="1"/>
    <col min="1947" max="1955" width="8.7109375" bestFit="1" customWidth="1"/>
    <col min="1956" max="1977" width="9.7109375" bestFit="1" customWidth="1"/>
    <col min="1978" max="1986" width="8.7109375" bestFit="1" customWidth="1"/>
    <col min="1987" max="2007" width="9.7109375" bestFit="1" customWidth="1"/>
    <col min="2008" max="2016" width="8.7109375" bestFit="1" customWidth="1"/>
    <col min="2017" max="2038" width="9.7109375" bestFit="1" customWidth="1"/>
    <col min="2039" max="2047" width="8.7109375" bestFit="1" customWidth="1"/>
    <col min="2048" max="2069" width="9.7109375" bestFit="1" customWidth="1"/>
    <col min="2070" max="2078" width="8.7109375" bestFit="1" customWidth="1"/>
    <col min="2079" max="2108" width="9.7109375" bestFit="1" customWidth="1"/>
    <col min="2109" max="2130" width="10.7109375" bestFit="1" customWidth="1"/>
    <col min="2131" max="2139" width="9.7109375" bestFit="1" customWidth="1"/>
    <col min="2140" max="2160" width="10.7109375" bestFit="1" customWidth="1"/>
    <col min="2161" max="2169" width="9.7109375" bestFit="1" customWidth="1"/>
    <col min="2170" max="2191" width="10.7109375" bestFit="1" customWidth="1"/>
    <col min="2192" max="2200" width="8.7109375" bestFit="1" customWidth="1"/>
    <col min="2201" max="2222" width="9.7109375" bestFit="1" customWidth="1"/>
    <col min="2223" max="2231" width="8.7109375" bestFit="1" customWidth="1"/>
    <col min="2232" max="2251" width="9.7109375" bestFit="1" customWidth="1"/>
    <col min="2252" max="2260" width="8.7109375" bestFit="1" customWidth="1"/>
    <col min="2261" max="2282" width="9.7109375" bestFit="1" customWidth="1"/>
    <col min="2283" max="2291" width="8.7109375" bestFit="1" customWidth="1"/>
    <col min="2292" max="2312" width="9.7109375" bestFit="1" customWidth="1"/>
    <col min="2313" max="2321" width="8.7109375" bestFit="1" customWidth="1"/>
    <col min="2322" max="2343" width="9.7109375" bestFit="1" customWidth="1"/>
    <col min="2344" max="2352" width="8.7109375" bestFit="1" customWidth="1"/>
    <col min="2353" max="2373" width="9.7109375" bestFit="1" customWidth="1"/>
    <col min="2374" max="2382" width="8.7109375" bestFit="1" customWidth="1"/>
    <col min="2383" max="2404" width="9.7109375" bestFit="1" customWidth="1"/>
    <col min="2405" max="2413" width="8.7109375" bestFit="1" customWidth="1"/>
    <col min="2414" max="2435" width="9.7109375" bestFit="1" customWidth="1"/>
    <col min="2436" max="2444" width="8.7109375" bestFit="1" customWidth="1"/>
    <col min="2445" max="2474" width="9.7109375" bestFit="1" customWidth="1"/>
    <col min="2475" max="2496" width="10.7109375" bestFit="1" customWidth="1"/>
    <col min="2497" max="2505" width="9.7109375" bestFit="1" customWidth="1"/>
    <col min="2506" max="2526" width="10.7109375" bestFit="1" customWidth="1"/>
    <col min="2527" max="2535" width="9.7109375" bestFit="1" customWidth="1"/>
    <col min="2536" max="2557" width="10.7109375" bestFit="1" customWidth="1"/>
    <col min="2558" max="2566" width="8.7109375" bestFit="1" customWidth="1"/>
    <col min="2567" max="2588" width="9.7109375" bestFit="1" customWidth="1"/>
    <col min="2589" max="2597" width="8.7109375" bestFit="1" customWidth="1"/>
    <col min="2598" max="2616" width="9.7109375" bestFit="1" customWidth="1"/>
    <col min="2617" max="2625" width="8.7109375" bestFit="1" customWidth="1"/>
    <col min="2626" max="2647" width="9.7109375" bestFit="1" customWidth="1"/>
    <col min="2648" max="2656" width="8.7109375" bestFit="1" customWidth="1"/>
    <col min="2657" max="2677" width="9.7109375" bestFit="1" customWidth="1"/>
    <col min="2678" max="2686" width="8.7109375" bestFit="1" customWidth="1"/>
    <col min="2687" max="2708" width="9.7109375" bestFit="1" customWidth="1"/>
    <col min="2709" max="2717" width="8.7109375" bestFit="1" customWidth="1"/>
    <col min="2718" max="2738" width="9.7109375" bestFit="1" customWidth="1"/>
    <col min="2739" max="2747" width="8.7109375" bestFit="1" customWidth="1"/>
    <col min="2748" max="2769" width="9.7109375" bestFit="1" customWidth="1"/>
    <col min="2770" max="2778" width="8.7109375" bestFit="1" customWidth="1"/>
    <col min="2779" max="2800" width="9.7109375" bestFit="1" customWidth="1"/>
    <col min="2801" max="2809" width="8.7109375" bestFit="1" customWidth="1"/>
    <col min="2810" max="2839" width="9.7109375" bestFit="1" customWidth="1"/>
    <col min="2840" max="2861" width="10.7109375" bestFit="1" customWidth="1"/>
    <col min="2862" max="2870" width="9.7109375" bestFit="1" customWidth="1"/>
    <col min="2871" max="2891" width="10.7109375" bestFit="1" customWidth="1"/>
    <col min="2892" max="2900" width="9.7109375" bestFit="1" customWidth="1"/>
    <col min="2901" max="2922" width="10.7109375" bestFit="1" customWidth="1"/>
    <col min="2923" max="2931" width="8.7109375" bestFit="1" customWidth="1"/>
    <col min="2932" max="2953" width="9.7109375" bestFit="1" customWidth="1"/>
    <col min="2954" max="2962" width="8.7109375" bestFit="1" customWidth="1"/>
    <col min="2963" max="2981" width="9.7109375" bestFit="1" customWidth="1"/>
    <col min="2982" max="2990" width="8.7109375" bestFit="1" customWidth="1"/>
    <col min="2991" max="3012" width="9.7109375" bestFit="1" customWidth="1"/>
    <col min="3013" max="3021" width="8.7109375" bestFit="1" customWidth="1"/>
    <col min="3022" max="3042" width="9.7109375" bestFit="1" customWidth="1"/>
    <col min="3043" max="3051" width="8.7109375" bestFit="1" customWidth="1"/>
    <col min="3052" max="3073" width="9.7109375" bestFit="1" customWidth="1"/>
    <col min="3074" max="3082" width="8.7109375" bestFit="1" customWidth="1"/>
    <col min="3083" max="3103" width="9.7109375" bestFit="1" customWidth="1"/>
    <col min="3104" max="3112" width="8.7109375" bestFit="1" customWidth="1"/>
    <col min="3113" max="3134" width="9.7109375" bestFit="1" customWidth="1"/>
    <col min="3135" max="3143" width="8.7109375" bestFit="1" customWidth="1"/>
    <col min="3144" max="3165" width="9.7109375" bestFit="1" customWidth="1"/>
    <col min="3166" max="3174" width="8.7109375" bestFit="1" customWidth="1"/>
    <col min="3175" max="3204" width="9.7109375" bestFit="1" customWidth="1"/>
    <col min="3205" max="3226" width="10.7109375" bestFit="1" customWidth="1"/>
    <col min="3227" max="3235" width="9.7109375" bestFit="1" customWidth="1"/>
    <col min="3236" max="3256" width="10.7109375" bestFit="1" customWidth="1"/>
    <col min="3257" max="3265" width="9.7109375" bestFit="1" customWidth="1"/>
    <col min="3266" max="3287" width="10.7109375" bestFit="1" customWidth="1"/>
    <col min="3288" max="3296" width="8.7109375" bestFit="1" customWidth="1"/>
    <col min="3297" max="3318" width="9.7109375" bestFit="1" customWidth="1"/>
    <col min="3319" max="3327" width="8.7109375" bestFit="1" customWidth="1"/>
    <col min="3328" max="3346" width="9.7109375" bestFit="1" customWidth="1"/>
    <col min="3347" max="3355" width="8.7109375" bestFit="1" customWidth="1"/>
    <col min="3356" max="3377" width="9.7109375" bestFit="1" customWidth="1"/>
    <col min="3378" max="3386" width="8.7109375" bestFit="1" customWidth="1"/>
    <col min="3387" max="3407" width="9.7109375" bestFit="1" customWidth="1"/>
    <col min="3408" max="3416" width="8.7109375" bestFit="1" customWidth="1"/>
    <col min="3417" max="3438" width="9.7109375" bestFit="1" customWidth="1"/>
    <col min="3439" max="3447" width="8.7109375" bestFit="1" customWidth="1"/>
    <col min="3448" max="3468" width="9.7109375" bestFit="1" customWidth="1"/>
    <col min="3469" max="3477" width="8.7109375" bestFit="1" customWidth="1"/>
    <col min="3478" max="3499" width="9.7109375" bestFit="1" customWidth="1"/>
    <col min="3500" max="3508" width="8.7109375" bestFit="1" customWidth="1"/>
    <col min="3509" max="3530" width="9.7109375" bestFit="1" customWidth="1"/>
    <col min="3531" max="3539" width="8.7109375" bestFit="1" customWidth="1"/>
    <col min="3540" max="3569" width="9.7109375" bestFit="1" customWidth="1"/>
    <col min="3570" max="3591" width="10.7109375" bestFit="1" customWidth="1"/>
    <col min="3592" max="3600" width="9.7109375" bestFit="1" customWidth="1"/>
    <col min="3601" max="3621" width="10.7109375" bestFit="1" customWidth="1"/>
    <col min="3622" max="3630" width="9.7109375" bestFit="1" customWidth="1"/>
    <col min="3631" max="3652" width="10.7109375" bestFit="1" customWidth="1"/>
    <col min="3653" max="3661" width="8.7109375" bestFit="1" customWidth="1"/>
    <col min="3662" max="3683" width="9.7109375" bestFit="1" customWidth="1"/>
    <col min="3684" max="3692" width="8.7109375" bestFit="1" customWidth="1"/>
    <col min="3693" max="3712" width="9.7109375" bestFit="1" customWidth="1"/>
    <col min="3713" max="3721" width="8.7109375" bestFit="1" customWidth="1"/>
    <col min="3722" max="3743" width="9.7109375" bestFit="1" customWidth="1"/>
    <col min="3744" max="3752" width="8.7109375" bestFit="1" customWidth="1"/>
    <col min="3753" max="3773" width="9.7109375" bestFit="1" customWidth="1"/>
    <col min="3774" max="3782" width="8.7109375" bestFit="1" customWidth="1"/>
    <col min="3783" max="3804" width="9.7109375" bestFit="1" customWidth="1"/>
    <col min="3805" max="3813" width="8.7109375" bestFit="1" customWidth="1"/>
    <col min="3814" max="3834" width="9.7109375" bestFit="1" customWidth="1"/>
    <col min="3835" max="3843" width="8.7109375" bestFit="1" customWidth="1"/>
    <col min="3844" max="3865" width="9.7109375" bestFit="1" customWidth="1"/>
    <col min="3866" max="3874" width="8.7109375" bestFit="1" customWidth="1"/>
    <col min="3875" max="3896" width="9.7109375" bestFit="1" customWidth="1"/>
    <col min="3897" max="3905" width="8.7109375" bestFit="1" customWidth="1"/>
    <col min="3906" max="3935" width="9.7109375" bestFit="1" customWidth="1"/>
    <col min="3936" max="3957" width="10.7109375" bestFit="1" customWidth="1"/>
    <col min="3958" max="3966" width="9.7109375" bestFit="1" customWidth="1"/>
    <col min="3967" max="3987" width="10.7109375" bestFit="1" customWidth="1"/>
    <col min="3988" max="3996" width="9.7109375" bestFit="1" customWidth="1"/>
    <col min="3997" max="4018" width="10.7109375" bestFit="1" customWidth="1"/>
    <col min="4019" max="4027" width="8.7109375" bestFit="1" customWidth="1"/>
    <col min="4028" max="4049" width="9.7109375" bestFit="1" customWidth="1"/>
    <col min="4050" max="4058" width="8.7109375" bestFit="1" customWidth="1"/>
    <col min="4059" max="4077" width="9.7109375" bestFit="1" customWidth="1"/>
    <col min="4078" max="4086" width="8.7109375" bestFit="1" customWidth="1"/>
    <col min="4087" max="4108" width="9.7109375" bestFit="1" customWidth="1"/>
    <col min="4109" max="4117" width="8.7109375" bestFit="1" customWidth="1"/>
    <col min="4118" max="4138" width="9.7109375" bestFit="1" customWidth="1"/>
    <col min="4139" max="4147" width="8.7109375" bestFit="1" customWidth="1"/>
    <col min="4148" max="4169" width="9.7109375" bestFit="1" customWidth="1"/>
    <col min="4170" max="4178" width="8.7109375" bestFit="1" customWidth="1"/>
    <col min="4179" max="4199" width="9.7109375" bestFit="1" customWidth="1"/>
    <col min="4200" max="4208" width="8.7109375" bestFit="1" customWidth="1"/>
    <col min="4209" max="4230" width="9.7109375" bestFit="1" customWidth="1"/>
    <col min="4231" max="4239" width="8.7109375" bestFit="1" customWidth="1"/>
    <col min="4240" max="4261" width="9.7109375" bestFit="1" customWidth="1"/>
    <col min="4262" max="4270" width="8.7109375" bestFit="1" customWidth="1"/>
    <col min="4271" max="4300" width="9.7109375" bestFit="1" customWidth="1"/>
    <col min="4301" max="4322" width="10.7109375" bestFit="1" customWidth="1"/>
    <col min="4323" max="4331" width="9.7109375" bestFit="1" customWidth="1"/>
    <col min="4332" max="4352" width="10.7109375" bestFit="1" customWidth="1"/>
    <col min="4353" max="4361" width="9.7109375" bestFit="1" customWidth="1"/>
    <col min="4362" max="4383" width="10.7109375" bestFit="1" customWidth="1"/>
    <col min="4384" max="4392" width="8.7109375" bestFit="1" customWidth="1"/>
    <col min="4393" max="4414" width="9.7109375" bestFit="1" customWidth="1"/>
    <col min="4415" max="4423" width="8.7109375" bestFit="1" customWidth="1"/>
    <col min="4424" max="4442" width="9.7109375" bestFit="1" customWidth="1"/>
    <col min="4443" max="4451" width="8.7109375" bestFit="1" customWidth="1"/>
    <col min="4452" max="4473" width="9.7109375" bestFit="1" customWidth="1"/>
    <col min="4474" max="4482" width="8.7109375" bestFit="1" customWidth="1"/>
    <col min="4483" max="4503" width="9.7109375" bestFit="1" customWidth="1"/>
    <col min="4504" max="4512" width="8.7109375" bestFit="1" customWidth="1"/>
    <col min="4513" max="4534" width="9.7109375" bestFit="1" customWidth="1"/>
    <col min="4535" max="4543" width="8.7109375" bestFit="1" customWidth="1"/>
    <col min="4544" max="4564" width="9.7109375" bestFit="1" customWidth="1"/>
    <col min="4565" max="4573" width="8.7109375" bestFit="1" customWidth="1"/>
    <col min="4574" max="4595" width="9.7109375" bestFit="1" customWidth="1"/>
    <col min="4596" max="4604" width="8.7109375" bestFit="1" customWidth="1"/>
    <col min="4605" max="4626" width="9.7109375" bestFit="1" customWidth="1"/>
    <col min="4627" max="4635" width="8.7109375" bestFit="1" customWidth="1"/>
    <col min="4636" max="4665" width="9.7109375" bestFit="1" customWidth="1"/>
    <col min="4666" max="4687" width="10.7109375" bestFit="1" customWidth="1"/>
    <col min="4688" max="4696" width="9.7109375" bestFit="1" customWidth="1"/>
    <col min="4697" max="4717" width="10.7109375" bestFit="1" customWidth="1"/>
    <col min="4718" max="4726" width="9.7109375" bestFit="1" customWidth="1"/>
    <col min="4727" max="4748" width="10.7109375" bestFit="1" customWidth="1"/>
    <col min="4749" max="4757" width="8.7109375" bestFit="1" customWidth="1"/>
    <col min="4758" max="4779" width="9.7109375" bestFit="1" customWidth="1"/>
    <col min="4780" max="4788" width="8.7109375" bestFit="1" customWidth="1"/>
    <col min="4789" max="4807" width="9.7109375" bestFit="1" customWidth="1"/>
    <col min="4808" max="4816" width="8.7109375" bestFit="1" customWidth="1"/>
    <col min="4817" max="4838" width="9.7109375" bestFit="1" customWidth="1"/>
    <col min="4839" max="4847" width="8.7109375" bestFit="1" customWidth="1"/>
    <col min="4848" max="4868" width="9.7109375" bestFit="1" customWidth="1"/>
    <col min="4869" max="4877" width="8.7109375" bestFit="1" customWidth="1"/>
    <col min="4878" max="4899" width="9.7109375" bestFit="1" customWidth="1"/>
    <col min="4900" max="4908" width="8.7109375" bestFit="1" customWidth="1"/>
    <col min="4909" max="4929" width="9.7109375" bestFit="1" customWidth="1"/>
    <col min="4930" max="4938" width="8.7109375" bestFit="1" customWidth="1"/>
    <col min="4939" max="4960" width="9.7109375" bestFit="1" customWidth="1"/>
    <col min="4961" max="4969" width="8.7109375" bestFit="1" customWidth="1"/>
    <col min="4970" max="4991" width="9.7109375" bestFit="1" customWidth="1"/>
    <col min="4992" max="5000" width="8.7109375" bestFit="1" customWidth="1"/>
    <col min="5001" max="5030" width="9.7109375" bestFit="1" customWidth="1"/>
    <col min="5031" max="5052" width="10.7109375" bestFit="1" customWidth="1"/>
    <col min="5053" max="5061" width="9.7109375" bestFit="1" customWidth="1"/>
    <col min="5062" max="5082" width="10.7109375" bestFit="1" customWidth="1"/>
    <col min="5083" max="5091" width="9.7109375" bestFit="1" customWidth="1"/>
    <col min="5092" max="5113" width="10.7109375" bestFit="1" customWidth="1"/>
    <col min="5114" max="5122" width="8.7109375" bestFit="1" customWidth="1"/>
    <col min="5123" max="5144" width="9.7109375" bestFit="1" customWidth="1"/>
    <col min="5145" max="5153" width="8.7109375" bestFit="1" customWidth="1"/>
    <col min="5154" max="5173" width="9.7109375" bestFit="1" customWidth="1"/>
    <col min="5174" max="5182" width="8.7109375" bestFit="1" customWidth="1"/>
    <col min="5183" max="5204" width="9.7109375" bestFit="1" customWidth="1"/>
    <col min="5205" max="5213" width="8.7109375" bestFit="1" customWidth="1"/>
    <col min="5214" max="5234" width="9.7109375" bestFit="1" customWidth="1"/>
    <col min="5235" max="5243" width="8.7109375" bestFit="1" customWidth="1"/>
    <col min="5244" max="5265" width="9.7109375" bestFit="1" customWidth="1"/>
    <col min="5266" max="5274" width="8.7109375" bestFit="1" customWidth="1"/>
    <col min="5275" max="5295" width="9.7109375" bestFit="1" customWidth="1"/>
    <col min="5296" max="5304" width="8.7109375" bestFit="1" customWidth="1"/>
    <col min="5305" max="5326" width="9.7109375" bestFit="1" customWidth="1"/>
    <col min="5327" max="5335" width="8.7109375" bestFit="1" customWidth="1"/>
    <col min="5336" max="5357" width="9.7109375" bestFit="1" customWidth="1"/>
    <col min="5358" max="5366" width="8.7109375" bestFit="1" customWidth="1"/>
    <col min="5367" max="5396" width="9.7109375" bestFit="1" customWidth="1"/>
    <col min="5397" max="5418" width="10.7109375" bestFit="1" customWidth="1"/>
    <col min="5419" max="5427" width="9.7109375" bestFit="1" customWidth="1"/>
    <col min="5428" max="5448" width="10.7109375" bestFit="1" customWidth="1"/>
    <col min="5449" max="5457" width="9.7109375" bestFit="1" customWidth="1"/>
    <col min="5458" max="5479" width="10.7109375" bestFit="1" customWidth="1"/>
    <col min="5480" max="5488" width="8.7109375" bestFit="1" customWidth="1"/>
    <col min="5489" max="5510" width="9.7109375" bestFit="1" customWidth="1"/>
    <col min="5511" max="5519" width="8.7109375" bestFit="1" customWidth="1"/>
    <col min="5520" max="5538" width="9.7109375" bestFit="1" customWidth="1"/>
    <col min="5539" max="5547" width="8.7109375" bestFit="1" customWidth="1"/>
    <col min="5548" max="5569" width="9.7109375" bestFit="1" customWidth="1"/>
    <col min="5570" max="5578" width="8.7109375" bestFit="1" customWidth="1"/>
    <col min="5579" max="5599" width="9.7109375" bestFit="1" customWidth="1"/>
    <col min="5600" max="5608" width="8.7109375" bestFit="1" customWidth="1"/>
    <col min="5609" max="5630" width="9.7109375" bestFit="1" customWidth="1"/>
    <col min="5631" max="5639" width="8.7109375" bestFit="1" customWidth="1"/>
    <col min="5640" max="5660" width="9.7109375" bestFit="1" customWidth="1"/>
    <col min="5661" max="5669" width="8.7109375" bestFit="1" customWidth="1"/>
    <col min="5670" max="5691" width="9.7109375" bestFit="1" customWidth="1"/>
    <col min="5692" max="5700" width="8.7109375" bestFit="1" customWidth="1"/>
    <col min="5701" max="5722" width="9.7109375" bestFit="1" customWidth="1"/>
    <col min="5723" max="5731" width="8.7109375" bestFit="1" customWidth="1"/>
    <col min="5732" max="5761" width="9.7109375" bestFit="1" customWidth="1"/>
    <col min="5762" max="5783" width="10.7109375" bestFit="1" customWidth="1"/>
    <col min="5784" max="5792" width="9.7109375" bestFit="1" customWidth="1"/>
    <col min="5793" max="5813" width="10.7109375" bestFit="1" customWidth="1"/>
    <col min="5814" max="5822" width="9.7109375" bestFit="1" customWidth="1"/>
    <col min="5823" max="5844" width="10.7109375" bestFit="1" customWidth="1"/>
    <col min="5845" max="5853" width="8.7109375" bestFit="1" customWidth="1"/>
    <col min="5854" max="5875" width="9.7109375" bestFit="1" customWidth="1"/>
    <col min="5876" max="5884" width="8.7109375" bestFit="1" customWidth="1"/>
    <col min="5885" max="5903" width="9.7109375" bestFit="1" customWidth="1"/>
    <col min="5904" max="5912" width="8.7109375" bestFit="1" customWidth="1"/>
    <col min="5913" max="5934" width="9.7109375" bestFit="1" customWidth="1"/>
    <col min="5935" max="5943" width="8.7109375" bestFit="1" customWidth="1"/>
    <col min="5944" max="5964" width="9.7109375" bestFit="1" customWidth="1"/>
    <col min="5965" max="5973" width="8.7109375" bestFit="1" customWidth="1"/>
    <col min="5974" max="5995" width="9.7109375" bestFit="1" customWidth="1"/>
    <col min="5996" max="6004" width="8.7109375" bestFit="1" customWidth="1"/>
    <col min="6005" max="6025" width="9.7109375" bestFit="1" customWidth="1"/>
    <col min="6026" max="6034" width="8.7109375" bestFit="1" customWidth="1"/>
    <col min="6035" max="6056" width="9.7109375" bestFit="1" customWidth="1"/>
    <col min="6057" max="6065" width="8.7109375" bestFit="1" customWidth="1"/>
    <col min="6066" max="6087" width="9.7109375" bestFit="1" customWidth="1"/>
    <col min="6088" max="6096" width="8.7109375" bestFit="1" customWidth="1"/>
    <col min="6097" max="6126" width="9.7109375" bestFit="1" customWidth="1"/>
    <col min="6127" max="6148" width="10.7109375" bestFit="1" customWidth="1"/>
    <col min="6149" max="6157" width="9.7109375" bestFit="1" customWidth="1"/>
    <col min="6158" max="6178" width="10.7109375" bestFit="1" customWidth="1"/>
    <col min="6179" max="6187" width="9.7109375" bestFit="1" customWidth="1"/>
    <col min="6188" max="6209" width="10.7109375" bestFit="1" customWidth="1"/>
    <col min="6210" max="6218" width="8.7109375" bestFit="1" customWidth="1"/>
    <col min="6219" max="6240" width="9.7109375" bestFit="1" customWidth="1"/>
    <col min="6241" max="6249" width="8.7109375" bestFit="1" customWidth="1"/>
    <col min="6250" max="6268" width="9.7109375" bestFit="1" customWidth="1"/>
    <col min="6269" max="6277" width="8.7109375" bestFit="1" customWidth="1"/>
    <col min="6278" max="6299" width="9.7109375" bestFit="1" customWidth="1"/>
    <col min="6300" max="6308" width="8.7109375" bestFit="1" customWidth="1"/>
    <col min="6309" max="6329" width="9.7109375" bestFit="1" customWidth="1"/>
    <col min="6330" max="6338" width="8.7109375" bestFit="1" customWidth="1"/>
    <col min="6339" max="6360" width="9.7109375" bestFit="1" customWidth="1"/>
    <col min="6361" max="6369" width="8.7109375" bestFit="1" customWidth="1"/>
    <col min="6370" max="6390" width="9.7109375" bestFit="1" customWidth="1"/>
    <col min="6391" max="6399" width="8.7109375" bestFit="1" customWidth="1"/>
    <col min="6400" max="6421" width="9.7109375" bestFit="1" customWidth="1"/>
    <col min="6422" max="6430" width="8.7109375" bestFit="1" customWidth="1"/>
    <col min="6431" max="6452" width="9.7109375" bestFit="1" customWidth="1"/>
    <col min="6453" max="6461" width="8.7109375" bestFit="1" customWidth="1"/>
    <col min="6462" max="6491" width="9.7109375" bestFit="1" customWidth="1"/>
    <col min="6492" max="6513" width="10.7109375" bestFit="1" customWidth="1"/>
    <col min="6514" max="6522" width="9.7109375" bestFit="1" customWidth="1"/>
    <col min="6523" max="6543" width="10.7109375" bestFit="1" customWidth="1"/>
    <col min="6544" max="6552" width="9.7109375" bestFit="1" customWidth="1"/>
    <col min="6553" max="6574" width="10.7109375" bestFit="1" customWidth="1"/>
    <col min="6575" max="6583" width="8.7109375" bestFit="1" customWidth="1"/>
    <col min="6584" max="6605" width="9.7109375" bestFit="1" customWidth="1"/>
    <col min="6606" max="6614" width="8.7109375" bestFit="1" customWidth="1"/>
    <col min="6615" max="6634" width="9.7109375" bestFit="1" customWidth="1"/>
    <col min="6635" max="6643" width="8.7109375" bestFit="1" customWidth="1"/>
    <col min="6644" max="6665" width="9.7109375" bestFit="1" customWidth="1"/>
    <col min="6666" max="6674" width="8.7109375" bestFit="1" customWidth="1"/>
    <col min="6675" max="6695" width="9.7109375" bestFit="1" customWidth="1"/>
    <col min="6696" max="6704" width="8.7109375" bestFit="1" customWidth="1"/>
    <col min="6705" max="6726" width="9.7109375" bestFit="1" customWidth="1"/>
    <col min="6727" max="6735" width="8.7109375" bestFit="1" customWidth="1"/>
    <col min="6736" max="6756" width="9.7109375" bestFit="1" customWidth="1"/>
    <col min="6757" max="6765" width="8.7109375" bestFit="1" customWidth="1"/>
    <col min="6766" max="6787" width="9.7109375" bestFit="1" customWidth="1"/>
    <col min="6788" max="6796" width="8.7109375" bestFit="1" customWidth="1"/>
    <col min="6797" max="6818" width="9.7109375" bestFit="1" customWidth="1"/>
    <col min="6819" max="6827" width="8.7109375" bestFit="1" customWidth="1"/>
    <col min="6828" max="6857" width="9.7109375" bestFit="1" customWidth="1"/>
    <col min="6858" max="6879" width="10.7109375" bestFit="1" customWidth="1"/>
    <col min="6880" max="6888" width="9.7109375" bestFit="1" customWidth="1"/>
    <col min="6889" max="6909" width="10.7109375" bestFit="1" customWidth="1"/>
    <col min="6910" max="6918" width="9.7109375" bestFit="1" customWidth="1"/>
    <col min="6919" max="6940" width="10.7109375" bestFit="1" customWidth="1"/>
    <col min="6941" max="6949" width="8.7109375" bestFit="1" customWidth="1"/>
    <col min="6950" max="6971" width="9.7109375" bestFit="1" customWidth="1"/>
    <col min="6972" max="6980" width="8.7109375" bestFit="1" customWidth="1"/>
    <col min="6981" max="6999" width="9.7109375" bestFit="1" customWidth="1"/>
    <col min="7000" max="7008" width="8.7109375" bestFit="1" customWidth="1"/>
    <col min="7009" max="7030" width="9.7109375" bestFit="1" customWidth="1"/>
    <col min="7031" max="7039" width="8.7109375" bestFit="1" customWidth="1"/>
    <col min="7040" max="7060" width="9.7109375" bestFit="1" customWidth="1"/>
    <col min="7061" max="7069" width="8.7109375" bestFit="1" customWidth="1"/>
    <col min="7070" max="7091" width="9.7109375" bestFit="1" customWidth="1"/>
    <col min="7092" max="7100" width="8.7109375" bestFit="1" customWidth="1"/>
    <col min="7101" max="7121" width="9.7109375" bestFit="1" customWidth="1"/>
    <col min="7122" max="7130" width="8.7109375" bestFit="1" customWidth="1"/>
    <col min="7131" max="7152" width="9.7109375" bestFit="1" customWidth="1"/>
    <col min="7153" max="7161" width="8.7109375" bestFit="1" customWidth="1"/>
    <col min="7162" max="7183" width="9.7109375" bestFit="1" customWidth="1"/>
    <col min="7184" max="7192" width="8.7109375" bestFit="1" customWidth="1"/>
    <col min="7193" max="7222" width="9.7109375" bestFit="1" customWidth="1"/>
    <col min="7223" max="7244" width="10.7109375" bestFit="1" customWidth="1"/>
    <col min="7245" max="7253" width="9.7109375" bestFit="1" customWidth="1"/>
    <col min="7254" max="7274" width="10.7109375" bestFit="1" customWidth="1"/>
    <col min="7275" max="7283" width="9.7109375" bestFit="1" customWidth="1"/>
    <col min="7284" max="7305" width="10.7109375" bestFit="1" customWidth="1"/>
    <col min="7306" max="7314" width="8.7109375" bestFit="1" customWidth="1"/>
    <col min="7315" max="7336" width="9.7109375" bestFit="1" customWidth="1"/>
    <col min="7337" max="7345" width="8.7109375" bestFit="1" customWidth="1"/>
    <col min="7346" max="7364" width="9.7109375" bestFit="1" customWidth="1"/>
    <col min="7365" max="7373" width="8.7109375" bestFit="1" customWidth="1"/>
    <col min="7374" max="7395" width="9.7109375" bestFit="1" customWidth="1"/>
    <col min="7396" max="7404" width="8.7109375" bestFit="1" customWidth="1"/>
    <col min="7405" max="7425" width="9.7109375" bestFit="1" customWidth="1"/>
    <col min="7426" max="7434" width="8.7109375" bestFit="1" customWidth="1"/>
    <col min="7435" max="7456" width="9.7109375" bestFit="1" customWidth="1"/>
    <col min="7457" max="7465" width="8.7109375" bestFit="1" customWidth="1"/>
    <col min="7466" max="7486" width="9.7109375" bestFit="1" customWidth="1"/>
    <col min="7487" max="7495" width="8.7109375" bestFit="1" customWidth="1"/>
    <col min="7496" max="7517" width="9.7109375" bestFit="1" customWidth="1"/>
    <col min="7518" max="7526" width="8.7109375" bestFit="1" customWidth="1"/>
    <col min="7527" max="7548" width="9.7109375" bestFit="1" customWidth="1"/>
    <col min="7549" max="7557" width="8.7109375" bestFit="1" customWidth="1"/>
    <col min="7558" max="7587" width="9.7109375" bestFit="1" customWidth="1"/>
    <col min="7588" max="7609" width="10.7109375" bestFit="1" customWidth="1"/>
    <col min="7610" max="7618" width="9.7109375" bestFit="1" customWidth="1"/>
    <col min="7619" max="7639" width="10.7109375" bestFit="1" customWidth="1"/>
    <col min="7640" max="7648" width="9.7109375" bestFit="1" customWidth="1"/>
    <col min="7649" max="7670" width="10.7109375" bestFit="1" customWidth="1"/>
    <col min="7671" max="7679" width="8.7109375" bestFit="1" customWidth="1"/>
    <col min="7680" max="7701" width="9.7109375" bestFit="1" customWidth="1"/>
    <col min="7702" max="7710" width="8.7109375" bestFit="1" customWidth="1"/>
    <col min="7711" max="7729" width="9.7109375" bestFit="1" customWidth="1"/>
    <col min="7730" max="7738" width="8.7109375" bestFit="1" customWidth="1"/>
    <col min="7739" max="7760" width="9.7109375" bestFit="1" customWidth="1"/>
    <col min="7761" max="7769" width="8.7109375" bestFit="1" customWidth="1"/>
    <col min="7770" max="7790" width="9.7109375" bestFit="1" customWidth="1"/>
    <col min="7791" max="7799" width="8.7109375" bestFit="1" customWidth="1"/>
    <col min="7800" max="7821" width="9.7109375" bestFit="1" customWidth="1"/>
    <col min="7822" max="7830" width="8.7109375" bestFit="1" customWidth="1"/>
    <col min="7831" max="7851" width="9.7109375" bestFit="1" customWidth="1"/>
    <col min="7852" max="7860" width="8.7109375" bestFit="1" customWidth="1"/>
    <col min="7861" max="7882" width="9.7109375" bestFit="1" customWidth="1"/>
    <col min="7883" max="7891" width="8.7109375" bestFit="1" customWidth="1"/>
    <col min="7892" max="7913" width="9.7109375" bestFit="1" customWidth="1"/>
    <col min="7914" max="7922" width="8.7109375" bestFit="1" customWidth="1"/>
    <col min="7923" max="7952" width="9.7109375" bestFit="1" customWidth="1"/>
    <col min="7953" max="7974" width="10.7109375" bestFit="1" customWidth="1"/>
    <col min="7975" max="7983" width="9.7109375" bestFit="1" customWidth="1"/>
    <col min="7984" max="8004" width="10.7109375" bestFit="1" customWidth="1"/>
    <col min="8005" max="8013" width="9.7109375" bestFit="1" customWidth="1"/>
    <col min="8014" max="8035" width="10.7109375" bestFit="1" customWidth="1"/>
    <col min="8036" max="8044" width="8.7109375" bestFit="1" customWidth="1"/>
    <col min="8045" max="8066" width="9.7109375" bestFit="1" customWidth="1"/>
    <col min="8067" max="8075" width="8.7109375" bestFit="1" customWidth="1"/>
    <col min="8076" max="8095" width="9.7109375" bestFit="1" customWidth="1"/>
    <col min="8096" max="8104" width="8.7109375" bestFit="1" customWidth="1"/>
    <col min="8105" max="8126" width="9.7109375" bestFit="1" customWidth="1"/>
    <col min="8127" max="8135" width="8.7109375" bestFit="1" customWidth="1"/>
    <col min="8136" max="8156" width="9.7109375" bestFit="1" customWidth="1"/>
    <col min="8157" max="8165" width="8.7109375" bestFit="1" customWidth="1"/>
    <col min="8166" max="8187" width="9.7109375" bestFit="1" customWidth="1"/>
    <col min="8188" max="8196" width="8.7109375" bestFit="1" customWidth="1"/>
    <col min="8197" max="8217" width="9.7109375" bestFit="1" customWidth="1"/>
    <col min="8218" max="8226" width="8.7109375" bestFit="1" customWidth="1"/>
    <col min="8227" max="8248" width="9.7109375" bestFit="1" customWidth="1"/>
    <col min="8249" max="8257" width="8.7109375" bestFit="1" customWidth="1"/>
    <col min="8258" max="8279" width="9.7109375" bestFit="1" customWidth="1"/>
    <col min="8280" max="8288" width="8.7109375" bestFit="1" customWidth="1"/>
    <col min="8289" max="8318" width="9.7109375" bestFit="1" customWidth="1"/>
    <col min="8319" max="8340" width="10.7109375" bestFit="1" customWidth="1"/>
    <col min="8341" max="8349" width="9.7109375" bestFit="1" customWidth="1"/>
    <col min="8350" max="8370" width="10.7109375" bestFit="1" customWidth="1"/>
    <col min="8371" max="8379" width="9.7109375" bestFit="1" customWidth="1"/>
    <col min="8380" max="8401" width="10.7109375" bestFit="1" customWidth="1"/>
    <col min="8402" max="8410" width="8.7109375" bestFit="1" customWidth="1"/>
    <col min="8411" max="8432" width="9.7109375" bestFit="1" customWidth="1"/>
    <col min="8433" max="8441" width="8.7109375" bestFit="1" customWidth="1"/>
    <col min="8442" max="8460" width="9.7109375" bestFit="1" customWidth="1"/>
    <col min="8461" max="8469" width="8.7109375" bestFit="1" customWidth="1"/>
    <col min="8470" max="8491" width="9.7109375" bestFit="1" customWidth="1"/>
    <col min="8492" max="8500" width="8.7109375" bestFit="1" customWidth="1"/>
    <col min="8501" max="8521" width="9.7109375" bestFit="1" customWidth="1"/>
    <col min="8522" max="8530" width="8.7109375" bestFit="1" customWidth="1"/>
    <col min="8531" max="8552" width="9.7109375" bestFit="1" customWidth="1"/>
    <col min="8553" max="8561" width="8.7109375" bestFit="1" customWidth="1"/>
    <col min="8562" max="8582" width="9.7109375" bestFit="1" customWidth="1"/>
    <col min="8583" max="8591" width="8.7109375" bestFit="1" customWidth="1"/>
    <col min="8592" max="8613" width="9.7109375" bestFit="1" customWidth="1"/>
    <col min="8614" max="8622" width="8.7109375" bestFit="1" customWidth="1"/>
    <col min="8623" max="8644" width="9.7109375" bestFit="1" customWidth="1"/>
    <col min="8645" max="8653" width="8.7109375" bestFit="1" customWidth="1"/>
    <col min="8654" max="8683" width="9.7109375" bestFit="1" customWidth="1"/>
    <col min="8684" max="8705" width="10.7109375" bestFit="1" customWidth="1"/>
    <col min="8706" max="8714" width="9.7109375" bestFit="1" customWidth="1"/>
    <col min="8715" max="8735" width="10.7109375" bestFit="1" customWidth="1"/>
    <col min="8736" max="8744" width="9.7109375" bestFit="1" customWidth="1"/>
    <col min="8745" max="8766" width="10.7109375" bestFit="1" customWidth="1"/>
    <col min="8767" max="8775" width="8.7109375" bestFit="1" customWidth="1"/>
    <col min="8776" max="8797" width="9.7109375" bestFit="1" customWidth="1"/>
    <col min="8798" max="8806" width="8.7109375" bestFit="1" customWidth="1"/>
    <col min="8807" max="8825" width="9.7109375" bestFit="1" customWidth="1"/>
    <col min="8826" max="8834" width="8.7109375" bestFit="1" customWidth="1"/>
    <col min="8835" max="8856" width="9.7109375" bestFit="1" customWidth="1"/>
    <col min="8857" max="8865" width="8.7109375" bestFit="1" customWidth="1"/>
    <col min="8866" max="8886" width="9.7109375" bestFit="1" customWidth="1"/>
    <col min="8887" max="8895" width="8.7109375" bestFit="1" customWidth="1"/>
    <col min="8896" max="8917" width="9.7109375" bestFit="1" customWidth="1"/>
    <col min="8918" max="8926" width="8.7109375" bestFit="1" customWidth="1"/>
    <col min="8927" max="8947" width="9.7109375" bestFit="1" customWidth="1"/>
    <col min="8948" max="8956" width="8.7109375" bestFit="1" customWidth="1"/>
    <col min="8957" max="8978" width="9.7109375" bestFit="1" customWidth="1"/>
    <col min="8979" max="8987" width="8.7109375" bestFit="1" customWidth="1"/>
    <col min="8988" max="9009" width="9.7109375" bestFit="1" customWidth="1"/>
    <col min="9010" max="9018" width="8.7109375" bestFit="1" customWidth="1"/>
    <col min="9019" max="9048" width="9.7109375" bestFit="1" customWidth="1"/>
    <col min="9049" max="9070" width="10.7109375" bestFit="1" customWidth="1"/>
    <col min="9071" max="9079" width="9.7109375" bestFit="1" customWidth="1"/>
    <col min="9080" max="9100" width="10.7109375" bestFit="1" customWidth="1"/>
    <col min="9101" max="9109" width="9.7109375" bestFit="1" customWidth="1"/>
    <col min="9110" max="9131" width="10.7109375" bestFit="1" customWidth="1"/>
    <col min="9132" max="9140" width="8.7109375" bestFit="1" customWidth="1"/>
    <col min="9141" max="9162" width="9.7109375" bestFit="1" customWidth="1"/>
    <col min="9163" max="9171" width="8.7109375" bestFit="1" customWidth="1"/>
    <col min="9172" max="9190" width="9.7109375" bestFit="1" customWidth="1"/>
    <col min="9191" max="9199" width="8.7109375" bestFit="1" customWidth="1"/>
    <col min="9200" max="9221" width="9.7109375" bestFit="1" customWidth="1"/>
    <col min="9222" max="9230" width="8.7109375" bestFit="1" customWidth="1"/>
    <col min="9231" max="9251" width="9.7109375" bestFit="1" customWidth="1"/>
    <col min="9252" max="9260" width="8.7109375" bestFit="1" customWidth="1"/>
    <col min="9261" max="9282" width="9.7109375" bestFit="1" customWidth="1"/>
    <col min="9283" max="9291" width="8.7109375" bestFit="1" customWidth="1"/>
    <col min="9292" max="9312" width="9.7109375" bestFit="1" customWidth="1"/>
    <col min="9313" max="9321" width="8.7109375" bestFit="1" customWidth="1"/>
    <col min="9322" max="9343" width="9.7109375" bestFit="1" customWidth="1"/>
    <col min="9344" max="9352" width="8.7109375" bestFit="1" customWidth="1"/>
    <col min="9353" max="9374" width="9.7109375" bestFit="1" customWidth="1"/>
    <col min="9375" max="9383" width="8.7109375" bestFit="1" customWidth="1"/>
    <col min="9384" max="9413" width="9.7109375" bestFit="1" customWidth="1"/>
    <col min="9414" max="9435" width="10.7109375" bestFit="1" customWidth="1"/>
    <col min="9436" max="9444" width="9.7109375" bestFit="1" customWidth="1"/>
    <col min="9445" max="9465" width="10.7109375" bestFit="1" customWidth="1"/>
    <col min="9466" max="9474" width="9.7109375" bestFit="1" customWidth="1"/>
    <col min="9475" max="9496" width="10.7109375" bestFit="1" customWidth="1"/>
    <col min="9497" max="9505" width="8.7109375" bestFit="1" customWidth="1"/>
    <col min="9506" max="9527" width="9.7109375" bestFit="1" customWidth="1"/>
    <col min="9528" max="9536" width="8.7109375" bestFit="1" customWidth="1"/>
    <col min="9537" max="9556" width="9.7109375" bestFit="1" customWidth="1"/>
    <col min="9557" max="9565" width="8.7109375" bestFit="1" customWidth="1"/>
    <col min="9566" max="9587" width="9.7109375" bestFit="1" customWidth="1"/>
    <col min="9588" max="9596" width="8.7109375" bestFit="1" customWidth="1"/>
    <col min="9597" max="9617" width="9.7109375" bestFit="1" customWidth="1"/>
    <col min="9618" max="9626" width="8.7109375" bestFit="1" customWidth="1"/>
    <col min="9627" max="9648" width="9.7109375" bestFit="1" customWidth="1"/>
    <col min="9649" max="9657" width="8.7109375" bestFit="1" customWidth="1"/>
    <col min="9658" max="9678" width="9.7109375" bestFit="1" customWidth="1"/>
    <col min="9679" max="9687" width="8.7109375" bestFit="1" customWidth="1"/>
    <col min="9688" max="9709" width="9.7109375" bestFit="1" customWidth="1"/>
    <col min="9710" max="9718" width="8.7109375" bestFit="1" customWidth="1"/>
    <col min="9719" max="9740" width="9.7109375" bestFit="1" customWidth="1"/>
    <col min="9741" max="9749" width="8.7109375" bestFit="1" customWidth="1"/>
    <col min="9750" max="9779" width="9.7109375" bestFit="1" customWidth="1"/>
    <col min="9780" max="9801" width="10.7109375" bestFit="1" customWidth="1"/>
    <col min="9802" max="9810" width="9.7109375" bestFit="1" customWidth="1"/>
    <col min="9811" max="9831" width="10.7109375" bestFit="1" customWidth="1"/>
    <col min="9832" max="9840" width="9.7109375" bestFit="1" customWidth="1"/>
    <col min="9841" max="9862" width="10.7109375" bestFit="1" customWidth="1"/>
    <col min="9863" max="9871" width="8.7109375" bestFit="1" customWidth="1"/>
    <col min="9872" max="9893" width="9.7109375" bestFit="1" customWidth="1"/>
    <col min="9894" max="9902" width="8.7109375" bestFit="1" customWidth="1"/>
    <col min="9903" max="9921" width="9.7109375" bestFit="1" customWidth="1"/>
    <col min="9922" max="9930" width="8.7109375" bestFit="1" customWidth="1"/>
    <col min="9931" max="9952" width="9.7109375" bestFit="1" customWidth="1"/>
    <col min="9953" max="9961" width="8.7109375" bestFit="1" customWidth="1"/>
    <col min="9962" max="9982" width="9.7109375" bestFit="1" customWidth="1"/>
    <col min="9983" max="9991" width="8.7109375" bestFit="1" customWidth="1"/>
    <col min="9992" max="10013" width="9.7109375" bestFit="1" customWidth="1"/>
    <col min="10014" max="10022" width="8.7109375" bestFit="1" customWidth="1"/>
    <col min="10023" max="10043" width="9.7109375" bestFit="1" customWidth="1"/>
    <col min="10044" max="10052" width="8.7109375" bestFit="1" customWidth="1"/>
    <col min="10053" max="10074" width="9.7109375" bestFit="1" customWidth="1"/>
    <col min="10075" max="10083" width="8.7109375" bestFit="1" customWidth="1"/>
    <col min="10084" max="10105" width="9.7109375" bestFit="1" customWidth="1"/>
    <col min="10106" max="10114" width="8.7109375" bestFit="1" customWidth="1"/>
    <col min="10115" max="10144" width="9.7109375" bestFit="1" customWidth="1"/>
    <col min="10145" max="10166" width="10.7109375" bestFit="1" customWidth="1"/>
    <col min="10167" max="10175" width="9.7109375" bestFit="1" customWidth="1"/>
    <col min="10176" max="10196" width="10.7109375" bestFit="1" customWidth="1"/>
    <col min="10197" max="10205" width="9.7109375" bestFit="1" customWidth="1"/>
    <col min="10206" max="10227" width="10.7109375" bestFit="1" customWidth="1"/>
    <col min="10228" max="10236" width="8.7109375" bestFit="1" customWidth="1"/>
    <col min="10237" max="10258" width="9.7109375" bestFit="1" customWidth="1"/>
    <col min="10259" max="10267" width="8.7109375" bestFit="1" customWidth="1"/>
    <col min="10268" max="10286" width="9.7109375" bestFit="1" customWidth="1"/>
    <col min="10287" max="10295" width="8.7109375" bestFit="1" customWidth="1"/>
    <col min="10296" max="10317" width="9.7109375" bestFit="1" customWidth="1"/>
    <col min="10318" max="10326" width="8.7109375" bestFit="1" customWidth="1"/>
    <col min="10327" max="10347" width="9.7109375" bestFit="1" customWidth="1"/>
    <col min="10348" max="10356" width="8.7109375" bestFit="1" customWidth="1"/>
    <col min="10357" max="10378" width="9.7109375" bestFit="1" customWidth="1"/>
    <col min="10379" max="10387" width="8.7109375" bestFit="1" customWidth="1"/>
    <col min="10388" max="10408" width="9.7109375" bestFit="1" customWidth="1"/>
    <col min="10409" max="10417" width="8.7109375" bestFit="1" customWidth="1"/>
    <col min="10418" max="10439" width="9.7109375" bestFit="1" customWidth="1"/>
    <col min="10440" max="10448" width="8.7109375" bestFit="1" customWidth="1"/>
    <col min="10449" max="10470" width="9.7109375" bestFit="1" customWidth="1"/>
    <col min="10471" max="10479" width="8.7109375" bestFit="1" customWidth="1"/>
    <col min="10480" max="10509" width="9.7109375" bestFit="1" customWidth="1"/>
    <col min="10510" max="10531" width="10.7109375" bestFit="1" customWidth="1"/>
    <col min="10532" max="10540" width="9.7109375" bestFit="1" customWidth="1"/>
    <col min="10541" max="10561" width="10.7109375" bestFit="1" customWidth="1"/>
    <col min="10562" max="10570" width="9.7109375" bestFit="1" customWidth="1"/>
    <col min="10571" max="10592" width="10.7109375" bestFit="1" customWidth="1"/>
    <col min="10593" max="10601" width="8.7109375" bestFit="1" customWidth="1"/>
    <col min="10602" max="10623" width="9.7109375" bestFit="1" customWidth="1"/>
    <col min="10624" max="10632" width="8.7109375" bestFit="1" customWidth="1"/>
    <col min="10633" max="10651" width="9.7109375" bestFit="1" customWidth="1"/>
    <col min="10652" max="10660" width="8.7109375" bestFit="1" customWidth="1"/>
    <col min="10661" max="10682" width="9.7109375" bestFit="1" customWidth="1"/>
    <col min="10683" max="10691" width="8.7109375" bestFit="1" customWidth="1"/>
    <col min="10692" max="10712" width="9.7109375" bestFit="1" customWidth="1"/>
    <col min="10713" max="10721" width="8.7109375" bestFit="1" customWidth="1"/>
    <col min="10722" max="10743" width="9.7109375" bestFit="1" customWidth="1"/>
    <col min="10744" max="10752" width="8.7109375" bestFit="1" customWidth="1"/>
    <col min="10753" max="10773" width="9.7109375" bestFit="1" customWidth="1"/>
    <col min="10774" max="10782" width="8.7109375" bestFit="1" customWidth="1"/>
    <col min="10783" max="10804" width="9.7109375" bestFit="1" customWidth="1"/>
    <col min="10805" max="10813" width="8.7109375" bestFit="1" customWidth="1"/>
    <col min="10814" max="10835" width="9.7109375" bestFit="1" customWidth="1"/>
    <col min="10836" max="10844" width="8.7109375" bestFit="1" customWidth="1"/>
    <col min="10845" max="10874" width="9.7109375" bestFit="1" customWidth="1"/>
    <col min="10875" max="10896" width="10.7109375" bestFit="1" customWidth="1"/>
    <col min="10897" max="10905" width="9.7109375" bestFit="1" customWidth="1"/>
    <col min="10906" max="10926" width="10.7109375" bestFit="1" customWidth="1"/>
    <col min="10927" max="10935" width="9.7109375" bestFit="1" customWidth="1"/>
    <col min="10936" max="10957" width="10.7109375" bestFit="1" customWidth="1"/>
    <col min="10958" max="10966" width="8.7109375" bestFit="1" customWidth="1"/>
    <col min="10967" max="10988" width="9.7109375" bestFit="1" customWidth="1"/>
    <col min="10989" max="10997" width="8.7109375" bestFit="1" customWidth="1"/>
    <col min="10998" max="11017" width="9.7109375" bestFit="1" customWidth="1"/>
    <col min="11018" max="11026" width="8.7109375" bestFit="1" customWidth="1"/>
    <col min="11027" max="11048" width="9.7109375" bestFit="1" customWidth="1"/>
    <col min="11049" max="11057" width="8.7109375" bestFit="1" customWidth="1"/>
    <col min="11058" max="11078" width="9.7109375" bestFit="1" customWidth="1"/>
    <col min="11079" max="11087" width="8.7109375" bestFit="1" customWidth="1"/>
    <col min="11088" max="11109" width="9.7109375" bestFit="1" customWidth="1"/>
    <col min="11110" max="11118" width="8.7109375" bestFit="1" customWidth="1"/>
    <col min="11119" max="11139" width="9.7109375" bestFit="1" customWidth="1"/>
    <col min="11140" max="11148" width="8.7109375" bestFit="1" customWidth="1"/>
    <col min="11149" max="11170" width="9.7109375" bestFit="1" customWidth="1"/>
    <col min="11171" max="11179" width="8.7109375" bestFit="1" customWidth="1"/>
    <col min="11180" max="11201" width="9.7109375" bestFit="1" customWidth="1"/>
    <col min="11202" max="11210" width="8.7109375" bestFit="1" customWidth="1"/>
    <col min="11211" max="11240" width="9.7109375" bestFit="1" customWidth="1"/>
    <col min="11241" max="11262" width="10.7109375" bestFit="1" customWidth="1"/>
    <col min="11263" max="11271" width="9.7109375" bestFit="1" customWidth="1"/>
    <col min="11272" max="11292" width="10.7109375" bestFit="1" customWidth="1"/>
    <col min="11293" max="11301" width="9.7109375" bestFit="1" customWidth="1"/>
    <col min="11302" max="11323" width="10.7109375" bestFit="1" customWidth="1"/>
    <col min="11324" max="11332" width="8.7109375" bestFit="1" customWidth="1"/>
    <col min="11333" max="11354" width="9.7109375" bestFit="1" customWidth="1"/>
    <col min="11355" max="11363" width="8.7109375" bestFit="1" customWidth="1"/>
    <col min="11364" max="11382" width="9.7109375" bestFit="1" customWidth="1"/>
    <col min="11383" max="11391" width="8.7109375" bestFit="1" customWidth="1"/>
    <col min="11392" max="11413" width="9.7109375" bestFit="1" customWidth="1"/>
    <col min="11414" max="11422" width="8.7109375" bestFit="1" customWidth="1"/>
    <col min="11423" max="11443" width="9.7109375" bestFit="1" customWidth="1"/>
    <col min="11444" max="11452" width="8.7109375" bestFit="1" customWidth="1"/>
    <col min="11453" max="11474" width="9.7109375" bestFit="1" customWidth="1"/>
    <col min="11475" max="11483" width="8.7109375" bestFit="1" customWidth="1"/>
    <col min="11484" max="11504" width="9.7109375" bestFit="1" customWidth="1"/>
    <col min="11505" max="11513" width="8.7109375" bestFit="1" customWidth="1"/>
    <col min="11514" max="11535" width="9.7109375" bestFit="1" customWidth="1"/>
    <col min="11536" max="11544" width="8.7109375" bestFit="1" customWidth="1"/>
    <col min="11545" max="11566" width="9.7109375" bestFit="1" customWidth="1"/>
    <col min="11567" max="11575" width="8.7109375" bestFit="1" customWidth="1"/>
    <col min="11576" max="11605" width="9.7109375" bestFit="1" customWidth="1"/>
    <col min="11606" max="11627" width="10.7109375" bestFit="1" customWidth="1"/>
    <col min="11628" max="11636" width="9.7109375" bestFit="1" customWidth="1"/>
    <col min="11637" max="11657" width="10.7109375" bestFit="1" customWidth="1"/>
    <col min="11658" max="11666" width="9.7109375" bestFit="1" customWidth="1"/>
    <col min="11667" max="11688" width="10.7109375" bestFit="1" customWidth="1"/>
    <col min="11689" max="11697" width="8.7109375" bestFit="1" customWidth="1"/>
    <col min="11698" max="11719" width="9.7109375" bestFit="1" customWidth="1"/>
    <col min="11720" max="11728" width="8.7109375" bestFit="1" customWidth="1"/>
    <col min="11729" max="11747" width="9.7109375" bestFit="1" customWidth="1"/>
    <col min="11748" max="11756" width="8.7109375" bestFit="1" customWidth="1"/>
    <col min="11757" max="11778" width="9.7109375" bestFit="1" customWidth="1"/>
    <col min="11779" max="11787" width="8.7109375" bestFit="1" customWidth="1"/>
    <col min="11788" max="11808" width="9.7109375" bestFit="1" customWidth="1"/>
    <col min="11809" max="11817" width="8.7109375" bestFit="1" customWidth="1"/>
    <col min="11818" max="11839" width="9.7109375" bestFit="1" customWidth="1"/>
    <col min="11840" max="11848" width="8.7109375" bestFit="1" customWidth="1"/>
    <col min="11849" max="11869" width="9.7109375" bestFit="1" customWidth="1"/>
    <col min="11870" max="11878" width="8.7109375" bestFit="1" customWidth="1"/>
    <col min="11879" max="11900" width="9.7109375" bestFit="1" customWidth="1"/>
    <col min="11901" max="11909" width="8.7109375" bestFit="1" customWidth="1"/>
    <col min="11910" max="11931" width="9.7109375" bestFit="1" customWidth="1"/>
    <col min="11932" max="11940" width="8.7109375" bestFit="1" customWidth="1"/>
    <col min="11941" max="11970" width="9.7109375" bestFit="1" customWidth="1"/>
    <col min="11971" max="11992" width="10.7109375" bestFit="1" customWidth="1"/>
    <col min="11993" max="12001" width="9.7109375" bestFit="1" customWidth="1"/>
    <col min="12002" max="12022" width="10.7109375" bestFit="1" customWidth="1"/>
    <col min="12023" max="12031" width="9.7109375" bestFit="1" customWidth="1"/>
    <col min="12032" max="12053" width="10.7109375" bestFit="1" customWidth="1"/>
    <col min="12054" max="12062" width="8.7109375" bestFit="1" customWidth="1"/>
    <col min="12063" max="12084" width="9.7109375" bestFit="1" customWidth="1"/>
    <col min="12085" max="12093" width="8.7109375" bestFit="1" customWidth="1"/>
    <col min="12094" max="12112" width="9.7109375" bestFit="1" customWidth="1"/>
    <col min="12113" max="12121" width="8.7109375" bestFit="1" customWidth="1"/>
    <col min="12122" max="12143" width="9.7109375" bestFit="1" customWidth="1"/>
    <col min="12144" max="12152" width="8.7109375" bestFit="1" customWidth="1"/>
    <col min="12153" max="12173" width="9.7109375" bestFit="1" customWidth="1"/>
    <col min="12174" max="12182" width="8.7109375" bestFit="1" customWidth="1"/>
    <col min="12183" max="12204" width="9.7109375" bestFit="1" customWidth="1"/>
    <col min="12205" max="12213" width="8.7109375" bestFit="1" customWidth="1"/>
    <col min="12214" max="12234" width="9.7109375" bestFit="1" customWidth="1"/>
    <col min="12235" max="12243" width="8.7109375" bestFit="1" customWidth="1"/>
    <col min="12244" max="12265" width="9.7109375" bestFit="1" customWidth="1"/>
    <col min="12266" max="12274" width="8.7109375" bestFit="1" customWidth="1"/>
    <col min="12275" max="12296" width="9.7109375" bestFit="1" customWidth="1"/>
    <col min="12297" max="12305" width="8.7109375" bestFit="1" customWidth="1"/>
    <col min="12306" max="12335" width="9.7109375" bestFit="1" customWidth="1"/>
    <col min="12336" max="12357" width="10.7109375" bestFit="1" customWidth="1"/>
    <col min="12358" max="12366" width="9.7109375" bestFit="1" customWidth="1"/>
    <col min="12367" max="12387" width="10.7109375" bestFit="1" customWidth="1"/>
    <col min="12388" max="12396" width="9.7109375" bestFit="1" customWidth="1"/>
    <col min="12397" max="12418" width="10.7109375" bestFit="1" customWidth="1"/>
    <col min="12419" max="12427" width="8.7109375" bestFit="1" customWidth="1"/>
    <col min="12428" max="12449" width="9.7109375" bestFit="1" customWidth="1"/>
    <col min="12450" max="12458" width="8.7109375" bestFit="1" customWidth="1"/>
    <col min="12459" max="12478" width="9.7109375" bestFit="1" customWidth="1"/>
    <col min="12479" max="12487" width="8.7109375" bestFit="1" customWidth="1"/>
    <col min="12488" max="12509" width="9.7109375" bestFit="1" customWidth="1"/>
    <col min="12510" max="12518" width="8.7109375" bestFit="1" customWidth="1"/>
    <col min="12519" max="12539" width="9.7109375" bestFit="1" customWidth="1"/>
    <col min="12540" max="12548" width="8.7109375" bestFit="1" customWidth="1"/>
    <col min="12549" max="12570" width="9.7109375" bestFit="1" customWidth="1"/>
    <col min="12571" max="12579" width="8.7109375" bestFit="1" customWidth="1"/>
    <col min="12580" max="12600" width="9.7109375" bestFit="1" customWidth="1"/>
    <col min="12601" max="12609" width="8.7109375" bestFit="1" customWidth="1"/>
    <col min="12610" max="12631" width="9.7109375" bestFit="1" customWidth="1"/>
    <col min="12632" max="12640" width="8.7109375" bestFit="1" customWidth="1"/>
    <col min="12641" max="12662" width="9.7109375" bestFit="1" customWidth="1"/>
    <col min="12663" max="12671" width="8.7109375" bestFit="1" customWidth="1"/>
    <col min="12672" max="12701" width="9.7109375" bestFit="1" customWidth="1"/>
    <col min="12702" max="12723" width="10.7109375" bestFit="1" customWidth="1"/>
    <col min="12724" max="12732" width="9.7109375" bestFit="1" customWidth="1"/>
    <col min="12733" max="12753" width="10.7109375" bestFit="1" customWidth="1"/>
    <col min="12754" max="12762" width="9.7109375" bestFit="1" customWidth="1"/>
    <col min="12763" max="12784" width="10.7109375" bestFit="1" customWidth="1"/>
    <col min="12785" max="12793" width="8.7109375" bestFit="1" customWidth="1"/>
    <col min="12794" max="12815" width="9.7109375" bestFit="1" customWidth="1"/>
    <col min="12816" max="12824" width="8.7109375" bestFit="1" customWidth="1"/>
    <col min="12825" max="12843" width="9.7109375" bestFit="1" customWidth="1"/>
    <col min="12844" max="12852" width="8.7109375" bestFit="1" customWidth="1"/>
    <col min="12853" max="12874" width="9.7109375" bestFit="1" customWidth="1"/>
    <col min="12875" max="12883" width="8.7109375" bestFit="1" customWidth="1"/>
    <col min="12884" max="12904" width="9.7109375" bestFit="1" customWidth="1"/>
    <col min="12905" max="12913" width="8.7109375" bestFit="1" customWidth="1"/>
    <col min="12914" max="12935" width="9.7109375" bestFit="1" customWidth="1"/>
    <col min="12936" max="12944" width="8.7109375" bestFit="1" customWidth="1"/>
    <col min="12945" max="12965" width="9.7109375" bestFit="1" customWidth="1"/>
    <col min="12966" max="12974" width="8.7109375" bestFit="1" customWidth="1"/>
    <col min="12975" max="12996" width="9.7109375" bestFit="1" customWidth="1"/>
    <col min="12997" max="13005" width="8.7109375" bestFit="1" customWidth="1"/>
    <col min="13006" max="13027" width="9.7109375" bestFit="1" customWidth="1"/>
    <col min="13028" max="13036" width="8.7109375" bestFit="1" customWidth="1"/>
    <col min="13037" max="13066" width="9.7109375" bestFit="1" customWidth="1"/>
    <col min="13067" max="13088" width="10.7109375" bestFit="1" customWidth="1"/>
    <col min="13089" max="13097" width="9.7109375" bestFit="1" customWidth="1"/>
    <col min="13098" max="13118" width="10.7109375" bestFit="1" customWidth="1"/>
    <col min="13119" max="13127" width="9.7109375" bestFit="1" customWidth="1"/>
    <col min="13128" max="13149" width="10.7109375" bestFit="1" customWidth="1"/>
    <col min="13150" max="13158" width="8.7109375" bestFit="1" customWidth="1"/>
    <col min="13159" max="13180" width="9.7109375" bestFit="1" customWidth="1"/>
    <col min="13181" max="13189" width="8.7109375" bestFit="1" customWidth="1"/>
    <col min="13190" max="13208" width="9.7109375" bestFit="1" customWidth="1"/>
    <col min="13209" max="13217" width="8.7109375" bestFit="1" customWidth="1"/>
    <col min="13218" max="13239" width="9.7109375" bestFit="1" customWidth="1"/>
    <col min="13240" max="13248" width="8.7109375" bestFit="1" customWidth="1"/>
    <col min="13249" max="13269" width="9.7109375" bestFit="1" customWidth="1"/>
    <col min="13270" max="13278" width="8.7109375" bestFit="1" customWidth="1"/>
    <col min="13279" max="13300" width="9.7109375" bestFit="1" customWidth="1"/>
    <col min="13301" max="13309" width="8.7109375" bestFit="1" customWidth="1"/>
    <col min="13310" max="13330" width="9.7109375" bestFit="1" customWidth="1"/>
    <col min="13331" max="13339" width="8.7109375" bestFit="1" customWidth="1"/>
    <col min="13340" max="13361" width="9.7109375" bestFit="1" customWidth="1"/>
    <col min="13362" max="13370" width="8.7109375" bestFit="1" customWidth="1"/>
    <col min="13371" max="13392" width="9.7109375" bestFit="1" customWidth="1"/>
    <col min="13393" max="13401" width="8.7109375" bestFit="1" customWidth="1"/>
    <col min="13402" max="13431" width="9.7109375" bestFit="1" customWidth="1"/>
    <col min="13432" max="13453" width="10.7109375" bestFit="1" customWidth="1"/>
    <col min="13454" max="13462" width="9.7109375" bestFit="1" customWidth="1"/>
    <col min="13463" max="13483" width="10.7109375" bestFit="1" customWidth="1"/>
    <col min="13484" max="13492" width="9.7109375" bestFit="1" customWidth="1"/>
    <col min="13493" max="13514" width="10.7109375" bestFit="1" customWidth="1"/>
    <col min="13515" max="13523" width="8.7109375" bestFit="1" customWidth="1"/>
    <col min="13524" max="13545" width="9.7109375" bestFit="1" customWidth="1"/>
    <col min="13546" max="13554" width="8.7109375" bestFit="1" customWidth="1"/>
    <col min="13555" max="13573" width="9.7109375" bestFit="1" customWidth="1"/>
    <col min="13574" max="13582" width="8.7109375" bestFit="1" customWidth="1"/>
    <col min="13583" max="13604" width="9.7109375" bestFit="1" customWidth="1"/>
    <col min="13605" max="13613" width="8.7109375" bestFit="1" customWidth="1"/>
    <col min="13614" max="13634" width="9.7109375" bestFit="1" customWidth="1"/>
    <col min="13635" max="13643" width="8.7109375" bestFit="1" customWidth="1"/>
    <col min="13644" max="13665" width="9.7109375" bestFit="1" customWidth="1"/>
    <col min="13666" max="13674" width="8.7109375" bestFit="1" customWidth="1"/>
    <col min="13675" max="13695" width="9.7109375" bestFit="1" customWidth="1"/>
    <col min="13696" max="13704" width="8.7109375" bestFit="1" customWidth="1"/>
    <col min="13705" max="13726" width="9.7109375" bestFit="1" customWidth="1"/>
    <col min="13727" max="13735" width="8.7109375" bestFit="1" customWidth="1"/>
    <col min="13736" max="13757" width="9.7109375" bestFit="1" customWidth="1"/>
    <col min="13758" max="13766" width="8.7109375" bestFit="1" customWidth="1"/>
    <col min="13767" max="13796" width="9.7109375" bestFit="1" customWidth="1"/>
    <col min="13797" max="13818" width="10.7109375" bestFit="1" customWidth="1"/>
    <col min="13819" max="13827" width="9.7109375" bestFit="1" customWidth="1"/>
    <col min="13828" max="13848" width="10.7109375" bestFit="1" customWidth="1"/>
    <col min="13849" max="13857" width="9.7109375" bestFit="1" customWidth="1"/>
    <col min="13858" max="13879" width="10.7109375" bestFit="1" customWidth="1"/>
    <col min="13880" max="13888" width="8.7109375" bestFit="1" customWidth="1"/>
    <col min="13889" max="13910" width="9.7109375" bestFit="1" customWidth="1"/>
    <col min="13911" max="13919" width="8.7109375" bestFit="1" customWidth="1"/>
    <col min="13920" max="13939" width="9.7109375" bestFit="1" customWidth="1"/>
    <col min="13940" max="13948" width="8.7109375" bestFit="1" customWidth="1"/>
    <col min="13949" max="13970" width="9.7109375" bestFit="1" customWidth="1"/>
    <col min="13971" max="13979" width="8.7109375" bestFit="1" customWidth="1"/>
    <col min="13980" max="14000" width="9.7109375" bestFit="1" customWidth="1"/>
    <col min="14001" max="14009" width="8.7109375" bestFit="1" customWidth="1"/>
    <col min="14010" max="14031" width="9.7109375" bestFit="1" customWidth="1"/>
    <col min="14032" max="14040" width="8.7109375" bestFit="1" customWidth="1"/>
    <col min="14041" max="14061" width="9.7109375" bestFit="1" customWidth="1"/>
    <col min="14062" max="14070" width="8.7109375" bestFit="1" customWidth="1"/>
    <col min="14071" max="14092" width="9.7109375" bestFit="1" customWidth="1"/>
    <col min="14093" max="14101" width="8.7109375" bestFit="1" customWidth="1"/>
    <col min="14102" max="14123" width="9.7109375" bestFit="1" customWidth="1"/>
    <col min="14124" max="14132" width="8.7109375" bestFit="1" customWidth="1"/>
    <col min="14133" max="14162" width="9.7109375" bestFit="1" customWidth="1"/>
    <col min="14163" max="14184" width="10.7109375" bestFit="1" customWidth="1"/>
    <col min="14185" max="14193" width="9.7109375" bestFit="1" customWidth="1"/>
    <col min="14194" max="14214" width="10.7109375" bestFit="1" customWidth="1"/>
    <col min="14215" max="14223" width="9.7109375" bestFit="1" customWidth="1"/>
    <col min="14224" max="14245" width="10.7109375" bestFit="1" customWidth="1"/>
    <col min="14246" max="14254" width="8.7109375" bestFit="1" customWidth="1"/>
    <col min="14255" max="14276" width="9.7109375" bestFit="1" customWidth="1"/>
    <col min="14277" max="14285" width="8.7109375" bestFit="1" customWidth="1"/>
    <col min="14286" max="14304" width="9.7109375" bestFit="1" customWidth="1"/>
    <col min="14305" max="14313" width="8.7109375" bestFit="1" customWidth="1"/>
    <col min="14314" max="14335" width="9.7109375" bestFit="1" customWidth="1"/>
    <col min="14336" max="14344" width="8.7109375" bestFit="1" customWidth="1"/>
    <col min="14345" max="14365" width="9.7109375" bestFit="1" customWidth="1"/>
    <col min="14366" max="14374" width="8.7109375" bestFit="1" customWidth="1"/>
    <col min="14375" max="14396" width="9.7109375" bestFit="1" customWidth="1"/>
    <col min="14397" max="14405" width="8.7109375" bestFit="1" customWidth="1"/>
    <col min="14406" max="14426" width="9.7109375" bestFit="1" customWidth="1"/>
    <col min="14427" max="14435" width="8.7109375" bestFit="1" customWidth="1"/>
    <col min="14436" max="14457" width="9.7109375" bestFit="1" customWidth="1"/>
    <col min="14458" max="14466" width="8.7109375" bestFit="1" customWidth="1"/>
    <col min="14467" max="14488" width="9.7109375" bestFit="1" customWidth="1"/>
    <col min="14489" max="14497" width="8.7109375" bestFit="1" customWidth="1"/>
    <col min="14498" max="14527" width="9.7109375" bestFit="1" customWidth="1"/>
    <col min="14528" max="14549" width="10.7109375" bestFit="1" customWidth="1"/>
    <col min="14550" max="14558" width="9.7109375" bestFit="1" customWidth="1"/>
    <col min="14559" max="14579" width="10.7109375" bestFit="1" customWidth="1"/>
    <col min="14580" max="14588" width="9.7109375" bestFit="1" customWidth="1"/>
    <col min="14589" max="14610" width="10.7109375" bestFit="1" customWidth="1"/>
    <col min="14611" max="14619" width="8.7109375" bestFit="1" customWidth="1"/>
    <col min="14620" max="14641" width="9.7109375" bestFit="1" customWidth="1"/>
    <col min="14642" max="14650" width="8.7109375" bestFit="1" customWidth="1"/>
    <col min="14651" max="14669" width="9.7109375" bestFit="1" customWidth="1"/>
    <col min="14670" max="14678" width="8.7109375" bestFit="1" customWidth="1"/>
    <col min="14679" max="14700" width="9.7109375" bestFit="1" customWidth="1"/>
    <col min="14701" max="14709" width="8.7109375" bestFit="1" customWidth="1"/>
    <col min="14710" max="14730" width="9.7109375" bestFit="1" customWidth="1"/>
    <col min="14731" max="14739" width="8.7109375" bestFit="1" customWidth="1"/>
    <col min="14740" max="14761" width="9.7109375" bestFit="1" customWidth="1"/>
    <col min="14762" max="14770" width="8.7109375" bestFit="1" customWidth="1"/>
    <col min="14771" max="14791" width="9.7109375" bestFit="1" customWidth="1"/>
    <col min="14792" max="14800" width="8.7109375" bestFit="1" customWidth="1"/>
    <col min="14801" max="14822" width="9.7109375" bestFit="1" customWidth="1"/>
    <col min="14823" max="14831" width="8.7109375" bestFit="1" customWidth="1"/>
    <col min="14832" max="14853" width="9.7109375" bestFit="1" customWidth="1"/>
    <col min="14854" max="14862" width="8.7109375" bestFit="1" customWidth="1"/>
    <col min="14863" max="14892" width="9.7109375" bestFit="1" customWidth="1"/>
    <col min="14893" max="14914" width="10.7109375" bestFit="1" customWidth="1"/>
    <col min="14915" max="14923" width="9.7109375" bestFit="1" customWidth="1"/>
    <col min="14924" max="14944" width="10.7109375" bestFit="1" customWidth="1"/>
    <col min="14945" max="14953" width="9.7109375" bestFit="1" customWidth="1"/>
    <col min="14954" max="14975" width="10.7109375" bestFit="1" customWidth="1"/>
    <col min="14976" max="14984" width="8.7109375" bestFit="1" customWidth="1"/>
    <col min="14985" max="15006" width="9.7109375" bestFit="1" customWidth="1"/>
    <col min="15007" max="15015" width="8.7109375" bestFit="1" customWidth="1"/>
    <col min="15016" max="15034" width="9.7109375" bestFit="1" customWidth="1"/>
    <col min="15035" max="15043" width="8.7109375" bestFit="1" customWidth="1"/>
    <col min="15044" max="15065" width="9.7109375" bestFit="1" customWidth="1"/>
    <col min="15066" max="15074" width="8.7109375" bestFit="1" customWidth="1"/>
    <col min="15075" max="15095" width="9.7109375" bestFit="1" customWidth="1"/>
    <col min="15096" max="15104" width="8.7109375" bestFit="1" customWidth="1"/>
    <col min="15105" max="15126" width="9.7109375" bestFit="1" customWidth="1"/>
    <col min="15127" max="15135" width="8.7109375" bestFit="1" customWidth="1"/>
    <col min="15136" max="15156" width="9.7109375" bestFit="1" customWidth="1"/>
    <col min="15157" max="15165" width="8.7109375" bestFit="1" customWidth="1"/>
    <col min="15166" max="15187" width="9.7109375" bestFit="1" customWidth="1"/>
    <col min="15188" max="15196" width="8.7109375" bestFit="1" customWidth="1"/>
    <col min="15197" max="15218" width="9.7109375" bestFit="1" customWidth="1"/>
    <col min="15219" max="15227" width="8.7109375" bestFit="1" customWidth="1"/>
    <col min="15228" max="15257" width="9.7109375" bestFit="1" customWidth="1"/>
    <col min="15258" max="15279" width="10.7109375" bestFit="1" customWidth="1"/>
    <col min="15280" max="15288" width="9.7109375" bestFit="1" customWidth="1"/>
    <col min="15289" max="15309" width="10.7109375" bestFit="1" customWidth="1"/>
    <col min="15310" max="15318" width="9.7109375" bestFit="1" customWidth="1"/>
    <col min="15319" max="15340" width="10.7109375" bestFit="1" customWidth="1"/>
    <col min="15341" max="15349" width="8.7109375" bestFit="1" customWidth="1"/>
    <col min="15350" max="15371" width="9.7109375" bestFit="1" customWidth="1"/>
    <col min="15372" max="15380" width="8.7109375" bestFit="1" customWidth="1"/>
    <col min="15381" max="15400" width="9.7109375" bestFit="1" customWidth="1"/>
    <col min="15401" max="15409" width="8.7109375" bestFit="1" customWidth="1"/>
    <col min="15410" max="15431" width="9.7109375" bestFit="1" customWidth="1"/>
    <col min="15432" max="15440" width="8.7109375" bestFit="1" customWidth="1"/>
    <col min="15441" max="15461" width="9.7109375" bestFit="1" customWidth="1"/>
    <col min="15462" max="15470" width="8.7109375" bestFit="1" customWidth="1"/>
    <col min="15471" max="15492" width="9.7109375" bestFit="1" customWidth="1"/>
    <col min="15493" max="15501" width="8.7109375" bestFit="1" customWidth="1"/>
    <col min="15502" max="15522" width="9.7109375" bestFit="1" customWidth="1"/>
    <col min="15523" max="15531" width="8.7109375" bestFit="1" customWidth="1"/>
    <col min="15532" max="15553" width="9.7109375" bestFit="1" customWidth="1"/>
    <col min="15554" max="15562" width="8.7109375" bestFit="1" customWidth="1"/>
    <col min="15563" max="15584" width="9.7109375" bestFit="1" customWidth="1"/>
    <col min="15585" max="15593" width="8.7109375" bestFit="1" customWidth="1"/>
    <col min="15594" max="15623" width="9.7109375" bestFit="1" customWidth="1"/>
    <col min="15624" max="15645" width="10.7109375" bestFit="1" customWidth="1"/>
    <col min="15646" max="15654" width="9.7109375" bestFit="1" customWidth="1"/>
    <col min="15655" max="15675" width="10.7109375" bestFit="1" customWidth="1"/>
    <col min="15676" max="15684" width="9.7109375" bestFit="1" customWidth="1"/>
    <col min="15685" max="15706" width="10.7109375" bestFit="1" customWidth="1"/>
    <col min="15707" max="15715" width="8.7109375" bestFit="1" customWidth="1"/>
    <col min="15716" max="15737" width="9.7109375" bestFit="1" customWidth="1"/>
    <col min="15738" max="15746" width="8.7109375" bestFit="1" customWidth="1"/>
    <col min="15747" max="15765" width="9.7109375" bestFit="1" customWidth="1"/>
    <col min="15766" max="15774" width="8.7109375" bestFit="1" customWidth="1"/>
    <col min="15775" max="15796" width="9.7109375" bestFit="1" customWidth="1"/>
    <col min="15797" max="15805" width="8.7109375" bestFit="1" customWidth="1"/>
    <col min="15806" max="15826" width="9.7109375" bestFit="1" customWidth="1"/>
    <col min="15827" max="15835" width="8.7109375" bestFit="1" customWidth="1"/>
    <col min="15836" max="15857" width="9.7109375" bestFit="1" customWidth="1"/>
    <col min="15858" max="15866" width="8.7109375" bestFit="1" customWidth="1"/>
    <col min="15867" max="15887" width="9.7109375" bestFit="1" customWidth="1"/>
    <col min="15888" max="15896" width="8.7109375" bestFit="1" customWidth="1"/>
    <col min="15897" max="15918" width="9.7109375" bestFit="1" customWidth="1"/>
    <col min="15919" max="15927" width="8.7109375" bestFit="1" customWidth="1"/>
    <col min="15928" max="15949" width="9.7109375" bestFit="1" customWidth="1"/>
    <col min="15950" max="15958" width="8.7109375" bestFit="1" customWidth="1"/>
    <col min="15959" max="15988" width="9.7109375" bestFit="1" customWidth="1"/>
    <col min="15989" max="16010" width="10.7109375" bestFit="1" customWidth="1"/>
    <col min="16011" max="16019" width="9.7109375" bestFit="1" customWidth="1"/>
    <col min="16020" max="16040" width="10.7109375" bestFit="1" customWidth="1"/>
    <col min="16041" max="16049" width="9.7109375" bestFit="1" customWidth="1"/>
    <col min="16050" max="16071" width="10.7109375" bestFit="1" customWidth="1"/>
    <col min="16072" max="16080" width="8.7109375" bestFit="1" customWidth="1"/>
    <col min="16081" max="16102" width="9.7109375" bestFit="1" customWidth="1"/>
    <col min="16103" max="16111" width="8.7109375" bestFit="1" customWidth="1"/>
    <col min="16112" max="16130" width="9.7109375" bestFit="1" customWidth="1"/>
    <col min="16131" max="16139" width="8.7109375" bestFit="1" customWidth="1"/>
    <col min="16140" max="16161" width="9.7109375" bestFit="1" customWidth="1"/>
    <col min="16162" max="16170" width="8.7109375" bestFit="1" customWidth="1"/>
    <col min="16171" max="16191" width="9.7109375" bestFit="1" customWidth="1"/>
    <col min="16192" max="16200" width="8.7109375" bestFit="1" customWidth="1"/>
    <col min="16201" max="16222" width="9.7109375" bestFit="1" customWidth="1"/>
    <col min="16223" max="16231" width="8.7109375" bestFit="1" customWidth="1"/>
    <col min="16232" max="16252" width="9.7109375" bestFit="1" customWidth="1"/>
    <col min="16253" max="16261" width="8.7109375" bestFit="1" customWidth="1"/>
    <col min="16262" max="16283" width="9.7109375" bestFit="1" customWidth="1"/>
    <col min="16284" max="16292" width="8.7109375" bestFit="1" customWidth="1"/>
    <col min="16293" max="16314" width="9.7109375" bestFit="1" customWidth="1"/>
    <col min="16315" max="16323" width="8.7109375" bestFit="1" customWidth="1"/>
    <col min="16324" max="16353" width="9.7109375" bestFit="1" customWidth="1"/>
    <col min="16354" max="16375" width="10.7109375" bestFit="1" customWidth="1"/>
    <col min="16376" max="16384" width="9.7109375" bestFit="1" customWidth="1"/>
  </cols>
  <sheetData>
    <row r="3" spans="1:7" x14ac:dyDescent="0.25">
      <c r="A3" t="s">
        <v>7</v>
      </c>
      <c r="B3" t="s">
        <v>684</v>
      </c>
      <c r="C3" t="s">
        <v>685</v>
      </c>
      <c r="D3" t="s">
        <v>6</v>
      </c>
      <c r="E3" t="s">
        <v>5</v>
      </c>
      <c r="F3" t="s">
        <v>682</v>
      </c>
      <c r="G3" t="s">
        <v>683</v>
      </c>
    </row>
    <row r="4" spans="1:7" x14ac:dyDescent="0.25">
      <c r="A4" s="4">
        <v>268</v>
      </c>
      <c r="B4" s="4">
        <v>203</v>
      </c>
      <c r="C4" s="4">
        <v>65</v>
      </c>
      <c r="D4" s="4">
        <v>199</v>
      </c>
      <c r="E4" s="4">
        <v>69</v>
      </c>
      <c r="F4" s="6">
        <v>25.746268656716421</v>
      </c>
      <c r="G4" s="5">
        <v>74.253731343283576</v>
      </c>
    </row>
    <row r="5" spans="1:7" x14ac:dyDescent="0.25">
      <c r="A5" s="4"/>
      <c r="B5" s="4"/>
      <c r="C5" s="4"/>
      <c r="D5" s="4"/>
      <c r="E5" s="4"/>
      <c r="F5" s="6"/>
      <c r="G5" s="5"/>
    </row>
    <row r="6" spans="1:7" x14ac:dyDescent="0.25">
      <c r="A6" s="7" t="s">
        <v>686</v>
      </c>
      <c r="B6" s="7" t="s">
        <v>687</v>
      </c>
      <c r="C6" s="7" t="s">
        <v>688</v>
      </c>
      <c r="D6" s="7" t="s">
        <v>0</v>
      </c>
      <c r="E6" s="7" t="s">
        <v>689</v>
      </c>
      <c r="F6" s="7" t="s">
        <v>690</v>
      </c>
      <c r="G6" s="7" t="s">
        <v>691</v>
      </c>
    </row>
    <row r="7" spans="1:7" x14ac:dyDescent="0.25">
      <c r="A7" s="4">
        <f>A4</f>
        <v>268</v>
      </c>
      <c r="B7" s="4">
        <f>B4</f>
        <v>203</v>
      </c>
      <c r="C7" s="4">
        <f>C4</f>
        <v>65</v>
      </c>
      <c r="D7" s="4">
        <f>D4</f>
        <v>199</v>
      </c>
      <c r="E7" s="4">
        <f>E4</f>
        <v>69</v>
      </c>
      <c r="F7" s="9">
        <f>F4/100</f>
        <v>0.2574626865671642</v>
      </c>
      <c r="G7" s="9">
        <f>G4/100</f>
        <v>0.7425373134328358</v>
      </c>
    </row>
    <row r="8" spans="1:7" x14ac:dyDescent="0.25">
      <c r="G8" t="s">
        <v>697</v>
      </c>
    </row>
    <row r="12" spans="1:7" x14ac:dyDescent="0.25">
      <c r="A12" s="2" t="s">
        <v>698</v>
      </c>
      <c r="B12" t="s">
        <v>7</v>
      </c>
      <c r="D12" s="2" t="s">
        <v>7</v>
      </c>
      <c r="E12" s="2" t="s">
        <v>701</v>
      </c>
    </row>
    <row r="13" spans="1:7" x14ac:dyDescent="0.25">
      <c r="A13" s="3">
        <v>2009</v>
      </c>
      <c r="B13" s="4">
        <v>3</v>
      </c>
      <c r="D13" s="2" t="s">
        <v>13</v>
      </c>
      <c r="E13" t="s">
        <v>35</v>
      </c>
      <c r="F13" t="s">
        <v>74</v>
      </c>
      <c r="G13" t="s">
        <v>700</v>
      </c>
    </row>
    <row r="14" spans="1:7" x14ac:dyDescent="0.25">
      <c r="A14" s="3">
        <v>2010</v>
      </c>
      <c r="B14" s="4">
        <v>8</v>
      </c>
      <c r="D14" s="3" t="s">
        <v>62</v>
      </c>
      <c r="E14" s="4">
        <v>18</v>
      </c>
      <c r="F14" s="4">
        <v>50</v>
      </c>
      <c r="G14" s="4">
        <v>68</v>
      </c>
    </row>
    <row r="15" spans="1:7" x14ac:dyDescent="0.25">
      <c r="A15" s="3">
        <v>2011</v>
      </c>
      <c r="B15" s="4">
        <v>14</v>
      </c>
      <c r="D15" s="3" t="s">
        <v>79</v>
      </c>
      <c r="E15" s="4">
        <v>8</v>
      </c>
      <c r="F15" s="4">
        <v>21</v>
      </c>
      <c r="G15" s="4">
        <v>29</v>
      </c>
    </row>
    <row r="16" spans="1:7" x14ac:dyDescent="0.25">
      <c r="A16" s="3">
        <v>2012</v>
      </c>
      <c r="B16" s="4">
        <v>27</v>
      </c>
      <c r="D16" s="3" t="s">
        <v>38</v>
      </c>
      <c r="E16" s="4">
        <v>43</v>
      </c>
      <c r="F16" s="4">
        <v>128</v>
      </c>
      <c r="G16" s="4">
        <v>171</v>
      </c>
    </row>
    <row r="17" spans="1:9" x14ac:dyDescent="0.25">
      <c r="A17" s="3">
        <v>2013</v>
      </c>
      <c r="B17" s="4">
        <v>30</v>
      </c>
      <c r="D17" s="3" t="s">
        <v>700</v>
      </c>
      <c r="E17" s="4">
        <v>69</v>
      </c>
      <c r="F17" s="4">
        <v>199</v>
      </c>
      <c r="G17" s="4">
        <v>268</v>
      </c>
    </row>
    <row r="18" spans="1:9" x14ac:dyDescent="0.25">
      <c r="A18" s="3">
        <v>2014</v>
      </c>
      <c r="B18" s="4">
        <v>33</v>
      </c>
    </row>
    <row r="19" spans="1:9" x14ac:dyDescent="0.25">
      <c r="A19" s="3">
        <v>2015</v>
      </c>
      <c r="B19" s="4">
        <v>41</v>
      </c>
    </row>
    <row r="20" spans="1:9" x14ac:dyDescent="0.25">
      <c r="A20" s="3">
        <v>2016</v>
      </c>
      <c r="B20" s="4">
        <v>52</v>
      </c>
      <c r="D20" s="2" t="s">
        <v>7</v>
      </c>
      <c r="E20" s="2" t="s">
        <v>703</v>
      </c>
    </row>
    <row r="21" spans="1:9" x14ac:dyDescent="0.25">
      <c r="A21" s="3">
        <v>2017</v>
      </c>
      <c r="B21" s="4">
        <v>57</v>
      </c>
      <c r="D21" s="2" t="s">
        <v>704</v>
      </c>
      <c r="E21" t="s">
        <v>52</v>
      </c>
      <c r="F21" t="s">
        <v>36</v>
      </c>
      <c r="G21" t="s">
        <v>104</v>
      </c>
      <c r="H21" t="s">
        <v>94</v>
      </c>
      <c r="I21" t="s">
        <v>700</v>
      </c>
    </row>
    <row r="22" spans="1:9" x14ac:dyDescent="0.25">
      <c r="A22" s="3">
        <v>2018</v>
      </c>
      <c r="B22" s="4">
        <v>79</v>
      </c>
      <c r="D22" s="3" t="s">
        <v>49</v>
      </c>
      <c r="E22" s="4">
        <v>33</v>
      </c>
      <c r="F22" s="4">
        <v>213</v>
      </c>
      <c r="G22" s="4">
        <v>4</v>
      </c>
      <c r="H22" s="4">
        <v>11</v>
      </c>
      <c r="I22" s="4">
        <v>261</v>
      </c>
    </row>
    <row r="23" spans="1:9" x14ac:dyDescent="0.25">
      <c r="A23" s="3">
        <v>2019</v>
      </c>
      <c r="B23" s="4">
        <v>103</v>
      </c>
      <c r="D23" s="3" t="s">
        <v>256</v>
      </c>
      <c r="E23" s="4">
        <v>3</v>
      </c>
      <c r="F23" s="4">
        <v>2</v>
      </c>
      <c r="G23" s="4"/>
      <c r="H23" s="4">
        <v>1</v>
      </c>
      <c r="I23" s="4">
        <v>6</v>
      </c>
    </row>
    <row r="24" spans="1:9" x14ac:dyDescent="0.25">
      <c r="A24" s="3">
        <v>2020</v>
      </c>
      <c r="B24" s="4">
        <v>170</v>
      </c>
      <c r="D24" s="3" t="s">
        <v>470</v>
      </c>
      <c r="E24" s="4">
        <v>1</v>
      </c>
      <c r="F24" s="4"/>
      <c r="G24" s="4"/>
      <c r="H24" s="4"/>
      <c r="I24" s="4">
        <v>1</v>
      </c>
    </row>
    <row r="25" spans="1:9" x14ac:dyDescent="0.25">
      <c r="A25" s="3">
        <v>2021</v>
      </c>
      <c r="B25" s="4">
        <v>268</v>
      </c>
      <c r="D25" s="3" t="s">
        <v>700</v>
      </c>
      <c r="E25" s="4">
        <v>37</v>
      </c>
      <c r="F25" s="4">
        <v>215</v>
      </c>
      <c r="G25" s="4">
        <v>4</v>
      </c>
      <c r="H25" s="4">
        <v>12</v>
      </c>
      <c r="I25" s="4">
        <v>268</v>
      </c>
    </row>
    <row r="26" spans="1:9" x14ac:dyDescent="0.25">
      <c r="A26" s="3" t="s">
        <v>699</v>
      </c>
      <c r="B26" s="4">
        <v>268</v>
      </c>
    </row>
    <row r="27" spans="1:9" x14ac:dyDescent="0.25">
      <c r="D27" s="2" t="s">
        <v>7</v>
      </c>
      <c r="E27" s="2" t="s">
        <v>705</v>
      </c>
    </row>
    <row r="28" spans="1:9" x14ac:dyDescent="0.25">
      <c r="D28" s="2" t="s">
        <v>702</v>
      </c>
      <c r="E28" t="s">
        <v>50</v>
      </c>
      <c r="F28" t="s">
        <v>109</v>
      </c>
      <c r="G28" t="s">
        <v>69</v>
      </c>
      <c r="H28" t="s">
        <v>60</v>
      </c>
      <c r="I28" t="s">
        <v>700</v>
      </c>
    </row>
    <row r="29" spans="1:9" x14ac:dyDescent="0.25">
      <c r="D29" s="3" t="s">
        <v>59</v>
      </c>
    </row>
    <row r="30" spans="1:9" x14ac:dyDescent="0.25">
      <c r="D30" s="11" t="s">
        <v>52</v>
      </c>
      <c r="E30" s="4"/>
      <c r="F30" s="4">
        <v>5</v>
      </c>
      <c r="G30" s="4"/>
      <c r="H30" s="4">
        <v>12</v>
      </c>
      <c r="I30" s="4">
        <v>17</v>
      </c>
    </row>
    <row r="31" spans="1:9" x14ac:dyDescent="0.25">
      <c r="A31" s="10"/>
      <c r="D31" s="11" t="s">
        <v>36</v>
      </c>
      <c r="E31" s="4"/>
      <c r="F31" s="4">
        <v>50</v>
      </c>
      <c r="G31" s="4">
        <v>1</v>
      </c>
      <c r="H31" s="4">
        <v>45</v>
      </c>
      <c r="I31" s="4">
        <v>96</v>
      </c>
    </row>
    <row r="32" spans="1:9" x14ac:dyDescent="0.25">
      <c r="D32" s="11" t="s">
        <v>104</v>
      </c>
      <c r="E32" s="4"/>
      <c r="F32" s="4">
        <v>1</v>
      </c>
      <c r="G32" s="4"/>
      <c r="H32" s="4">
        <v>2</v>
      </c>
      <c r="I32" s="4">
        <v>3</v>
      </c>
    </row>
    <row r="33" spans="4:9" x14ac:dyDescent="0.25">
      <c r="D33" s="11" t="s">
        <v>94</v>
      </c>
      <c r="E33" s="4"/>
      <c r="F33" s="4">
        <v>2</v>
      </c>
      <c r="G33" s="4"/>
      <c r="H33" s="4">
        <v>4</v>
      </c>
      <c r="I33" s="4">
        <v>6</v>
      </c>
    </row>
    <row r="34" spans="4:9" x14ac:dyDescent="0.25">
      <c r="D34" s="3" t="s">
        <v>47</v>
      </c>
    </row>
    <row r="35" spans="4:9" x14ac:dyDescent="0.25">
      <c r="D35" s="11" t="s">
        <v>52</v>
      </c>
      <c r="E35" s="4">
        <v>1</v>
      </c>
      <c r="F35" s="4"/>
      <c r="G35" s="4"/>
      <c r="H35" s="4"/>
      <c r="I35" s="4">
        <v>1</v>
      </c>
    </row>
    <row r="36" spans="4:9" x14ac:dyDescent="0.25">
      <c r="D36" s="11" t="s">
        <v>36</v>
      </c>
      <c r="E36" s="4">
        <v>15</v>
      </c>
      <c r="F36" s="4">
        <v>7</v>
      </c>
      <c r="G36" s="4">
        <v>1</v>
      </c>
      <c r="H36" s="4"/>
      <c r="I36" s="4">
        <v>23</v>
      </c>
    </row>
    <row r="37" spans="4:9" x14ac:dyDescent="0.25">
      <c r="D37" s="11" t="s">
        <v>104</v>
      </c>
      <c r="E37" s="4"/>
      <c r="F37" s="4">
        <v>1</v>
      </c>
      <c r="G37" s="4"/>
      <c r="H37" s="4"/>
      <c r="I37" s="4">
        <v>1</v>
      </c>
    </row>
    <row r="38" spans="4:9" x14ac:dyDescent="0.25">
      <c r="D38" s="11" t="s">
        <v>94</v>
      </c>
      <c r="E38" s="4">
        <v>1</v>
      </c>
      <c r="F38" s="4">
        <v>1</v>
      </c>
      <c r="G38" s="4"/>
      <c r="H38" s="4"/>
      <c r="I38" s="4">
        <v>2</v>
      </c>
    </row>
    <row r="39" spans="4:9" x14ac:dyDescent="0.25">
      <c r="D39" s="3" t="s">
        <v>68</v>
      </c>
    </row>
    <row r="40" spans="4:9" x14ac:dyDescent="0.25">
      <c r="D40" s="11" t="s">
        <v>52</v>
      </c>
      <c r="E40" s="4"/>
      <c r="F40" s="4"/>
      <c r="G40" s="4">
        <v>13</v>
      </c>
      <c r="H40" s="4">
        <v>6</v>
      </c>
      <c r="I40" s="4">
        <v>19</v>
      </c>
    </row>
    <row r="41" spans="4:9" x14ac:dyDescent="0.25">
      <c r="D41" s="11" t="s">
        <v>36</v>
      </c>
      <c r="E41" s="4"/>
      <c r="F41" s="4"/>
      <c r="G41" s="4">
        <v>76</v>
      </c>
      <c r="H41" s="4">
        <v>20</v>
      </c>
      <c r="I41" s="4">
        <v>96</v>
      </c>
    </row>
    <row r="42" spans="4:9" x14ac:dyDescent="0.25">
      <c r="D42" s="11" t="s">
        <v>94</v>
      </c>
      <c r="E42" s="4"/>
      <c r="F42" s="4"/>
      <c r="G42" s="4">
        <v>4</v>
      </c>
      <c r="H42" s="4"/>
      <c r="I42" s="4">
        <v>4</v>
      </c>
    </row>
    <row r="43" spans="4:9" x14ac:dyDescent="0.25">
      <c r="D43" s="3" t="s">
        <v>700</v>
      </c>
      <c r="E43" s="4">
        <v>17</v>
      </c>
      <c r="F43" s="4">
        <v>67</v>
      </c>
      <c r="G43" s="4">
        <v>95</v>
      </c>
      <c r="H43" s="4">
        <v>89</v>
      </c>
      <c r="I43" s="4">
        <v>268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DCDA6-F19A-497F-8E9E-AF9CB9EA455B}">
  <sheetPr codeName="Sheet8"/>
  <dimension ref="A1:O37"/>
  <sheetViews>
    <sheetView tabSelected="1" workbookViewId="0">
      <selection activeCell="A3" sqref="A3"/>
    </sheetView>
  </sheetViews>
  <sheetFormatPr defaultColWidth="0" defaultRowHeight="15" zeroHeight="1" x14ac:dyDescent="0.25"/>
  <cols>
    <col min="1" max="15" width="9.140625" style="12" customWidth="1"/>
    <col min="16" max="16384" width="9.140625" style="12" hidden="1"/>
  </cols>
  <sheetData>
    <row r="1" s="12" customFormat="1" x14ac:dyDescent="0.25"/>
    <row r="2" s="12" customFormat="1" x14ac:dyDescent="0.25"/>
    <row r="3" s="12" customFormat="1" x14ac:dyDescent="0.25"/>
    <row r="4" s="12" customFormat="1" x14ac:dyDescent="0.25"/>
    <row r="5" s="12" customFormat="1" x14ac:dyDescent="0.25"/>
    <row r="6" s="12" customFormat="1" x14ac:dyDescent="0.25"/>
    <row r="7" s="12" customFormat="1" x14ac:dyDescent="0.25"/>
    <row r="8" s="12" customFormat="1" x14ac:dyDescent="0.25"/>
    <row r="9" s="12" customFormat="1" x14ac:dyDescent="0.25"/>
    <row r="10" s="12" customFormat="1" x14ac:dyDescent="0.25"/>
    <row r="11" s="12" customFormat="1" x14ac:dyDescent="0.25"/>
    <row r="12" s="12" customFormat="1" x14ac:dyDescent="0.25"/>
    <row r="13" s="12" customFormat="1" x14ac:dyDescent="0.25"/>
    <row r="14" s="12" customFormat="1" x14ac:dyDescent="0.25"/>
    <row r="15" s="12" customFormat="1" x14ac:dyDescent="0.25"/>
    <row r="16" s="12" customFormat="1" x14ac:dyDescent="0.25"/>
    <row r="17" s="12" customFormat="1" x14ac:dyDescent="0.25"/>
    <row r="18" s="12" customFormat="1" x14ac:dyDescent="0.25"/>
    <row r="19" s="12" customFormat="1" x14ac:dyDescent="0.25"/>
    <row r="20" s="12" customFormat="1" x14ac:dyDescent="0.25"/>
    <row r="21" s="12" customFormat="1" x14ac:dyDescent="0.25"/>
    <row r="22" s="12" customFormat="1" x14ac:dyDescent="0.25"/>
    <row r="23" s="12" customFormat="1" x14ac:dyDescent="0.25"/>
    <row r="24" s="12" customFormat="1" x14ac:dyDescent="0.25"/>
    <row r="25" s="12" customFormat="1" x14ac:dyDescent="0.25"/>
    <row r="26" s="12" customFormat="1" x14ac:dyDescent="0.25"/>
    <row r="27" s="12" customFormat="1" x14ac:dyDescent="0.25"/>
    <row r="28" s="12" customFormat="1" x14ac:dyDescent="0.25"/>
    <row r="29" s="12" customFormat="1" x14ac:dyDescent="0.25"/>
    <row r="30" s="12" customFormat="1" x14ac:dyDescent="0.25"/>
    <row r="31" s="12" customFormat="1" x14ac:dyDescent="0.25"/>
    <row r="32" s="12" customFormat="1" x14ac:dyDescent="0.25"/>
    <row r="33" s="12" customFormat="1" hidden="1" x14ac:dyDescent="0.25"/>
    <row r="34" s="12" customFormat="1" hidden="1" x14ac:dyDescent="0.25"/>
    <row r="35" s="12" customFormat="1" hidden="1" x14ac:dyDescent="0.25"/>
    <row r="36" s="12" customFormat="1" hidden="1" x14ac:dyDescent="0.25"/>
    <row r="37" s="12" customFormat="1" hidden="1" x14ac:dyDescent="0.25"/>
  </sheetData>
  <sheetProtection algorithmName="SHA-512" hashValue="cWTV4JnIxE8eDJJq31RvGzsQsPd9Zj8uZmGeaj195vAW3CBYNWXFpiUPyNe1xXtJINst2rhUn9cK3/NzHfj19Q==" saltValue="s5p5TPvHcCiUd4/wm01Jrg==" spinCount="100000" sheet="1" scenarios="1" selectLockedCells="1" selectUnlockedCells="1"/>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Props1.xml><?xml version="1.0" encoding="utf-8"?>
<ds:datastoreItem xmlns:ds="http://schemas.openxmlformats.org/officeDocument/2006/customXml" ds:itemID="{459F702F-E71C-428A-A040-FA2302263AEE}">
  <ds:schemaRefs/>
</ds:datastoreItem>
</file>

<file path=customXml/itemProps2.xml><?xml version="1.0" encoding="utf-8"?>
<ds:datastoreItem xmlns:ds="http://schemas.openxmlformats.org/officeDocument/2006/customXml" ds:itemID="{F3F48828-576E-4B95-824A-DE818CAD1D79}">
  <ds:schemaRefs>
    <ds:schemaRef ds:uri="http://schemas.microsoft.com/DataMashup"/>
  </ds:schemaRefs>
</ds:datastoreItem>
</file>

<file path=customXml/itemProps3.xml><?xml version="1.0" encoding="utf-8"?>
<ds:datastoreItem xmlns:ds="http://schemas.openxmlformats.org/officeDocument/2006/customXml" ds:itemID="{1C92CCFB-0C05-477D-8BD7-403DC93399BC}">
  <ds:schemaRefs/>
</ds:datastoreItem>
</file>

<file path=customXml/itemProps4.xml><?xml version="1.0" encoding="utf-8"?>
<ds:datastoreItem xmlns:ds="http://schemas.openxmlformats.org/officeDocument/2006/customXml" ds:itemID="{97D6689A-B3BD-4E91-83F8-F45E7346169A}">
  <ds:schemaRefs/>
</ds:datastoreItem>
</file>

<file path=customXml/itemProps5.xml><?xml version="1.0" encoding="utf-8"?>
<ds:datastoreItem xmlns:ds="http://schemas.openxmlformats.org/officeDocument/2006/customXml" ds:itemID="{23E79F7F-79A5-4021-8688-4CDDFEC10542}">
  <ds:schemaRefs/>
</ds:datastoreItem>
</file>

<file path=customXml/itemProps6.xml><?xml version="1.0" encoding="utf-8"?>
<ds:datastoreItem xmlns:ds="http://schemas.openxmlformats.org/officeDocument/2006/customXml" ds:itemID="{F2F9C92A-3505-4AFE-B6A9-FAAF0E59ACF9}">
  <ds:schemaRefs/>
</ds:datastoreItem>
</file>

<file path=customXml/itemProps7.xml><?xml version="1.0" encoding="utf-8"?>
<ds:datastoreItem xmlns:ds="http://schemas.openxmlformats.org/officeDocument/2006/customXml" ds:itemID="{DDED9A64-664D-4094-A028-60DDFB453D1D}">
  <ds:schemaRefs/>
</ds:datastoreItem>
</file>

<file path=customXml/itemProps8.xml><?xml version="1.0" encoding="utf-8"?>
<ds:datastoreItem xmlns:ds="http://schemas.openxmlformats.org/officeDocument/2006/customXml" ds:itemID="{FFED8718-C8D5-4639-B710-2A027F310121}">
  <ds:schemaRefs/>
</ds:datastoreItem>
</file>

<file path=customXml/itemProps9.xml><?xml version="1.0" encoding="utf-8"?>
<ds:datastoreItem xmlns:ds="http://schemas.openxmlformats.org/officeDocument/2006/customXml" ds:itemID="{987E195A-59CD-4F40-8645-928D09AB4030}">
  <ds:schemaRefs/>
</ds:datastoreItem>
</file>

<file path=customXml/itemProps10.xml><?xml version="1.0" encoding="utf-8"?>
<ds:datastoreItem xmlns:ds="http://schemas.openxmlformats.org/officeDocument/2006/customXml" ds:itemID="{1F50ACE4-A053-4D2A-ACE9-88787EB92F76}">
  <ds:schemaRefs/>
</ds:datastoreItem>
</file>

<file path=customXml/itemProps11.xml><?xml version="1.0" encoding="utf-8"?>
<ds:datastoreItem xmlns:ds="http://schemas.openxmlformats.org/officeDocument/2006/customXml" ds:itemID="{5DB10B3F-E18A-451F-B5AF-216D41936E01}">
  <ds:schemaRefs/>
</ds:datastoreItem>
</file>

<file path=customXml/itemProps12.xml><?xml version="1.0" encoding="utf-8"?>
<ds:datastoreItem xmlns:ds="http://schemas.openxmlformats.org/officeDocument/2006/customXml" ds:itemID="{79986261-CEE6-4762-BCF4-3445567F0801}">
  <ds:schemaRefs/>
</ds:datastoreItem>
</file>

<file path=customXml/itemProps13.xml><?xml version="1.0" encoding="utf-8"?>
<ds:datastoreItem xmlns:ds="http://schemas.openxmlformats.org/officeDocument/2006/customXml" ds:itemID="{11727656-5255-40C8-9762-B921721E1831}">
  <ds:schemaRefs/>
</ds:datastoreItem>
</file>

<file path=customXml/itemProps14.xml><?xml version="1.0" encoding="utf-8"?>
<ds:datastoreItem xmlns:ds="http://schemas.openxmlformats.org/officeDocument/2006/customXml" ds:itemID="{CFB80812-9DF0-495A-A5A9-CA44202792D9}">
  <ds:schemaRefs/>
</ds:datastoreItem>
</file>

<file path=customXml/itemProps15.xml><?xml version="1.0" encoding="utf-8"?>
<ds:datastoreItem xmlns:ds="http://schemas.openxmlformats.org/officeDocument/2006/customXml" ds:itemID="{9181C9C4-D877-41ED-968A-ECC2572A955E}">
  <ds:schemaRefs/>
</ds:datastoreItem>
</file>

<file path=customXml/itemProps16.xml><?xml version="1.0" encoding="utf-8"?>
<ds:datastoreItem xmlns:ds="http://schemas.openxmlformats.org/officeDocument/2006/customXml" ds:itemID="{D72579ED-AE2D-4DCD-8735-AC22FDB459F1}">
  <ds:schemaRefs/>
</ds:datastoreItem>
</file>

<file path=customXml/itemProps17.xml><?xml version="1.0" encoding="utf-8"?>
<ds:datastoreItem xmlns:ds="http://schemas.openxmlformats.org/officeDocument/2006/customXml" ds:itemID="{36553722-CA87-41AD-BB11-6BAF2F898613}">
  <ds:schemaRefs/>
</ds:datastoreItem>
</file>

<file path=customXml/itemProps18.xml><?xml version="1.0" encoding="utf-8"?>
<ds:datastoreItem xmlns:ds="http://schemas.openxmlformats.org/officeDocument/2006/customXml" ds:itemID="{8A5B6F9A-618A-4F97-B88B-A0DD830E55B0}">
  <ds:schemaRefs/>
</ds:datastoreItem>
</file>

<file path=customXml/itemProps19.xml><?xml version="1.0" encoding="utf-8"?>
<ds:datastoreItem xmlns:ds="http://schemas.openxmlformats.org/officeDocument/2006/customXml" ds:itemID="{CFB70089-81A0-4209-B974-162F8B06BF65}">
  <ds:schemaRefs/>
</ds:datastoreItem>
</file>

<file path=customXml/itemProps20.xml><?xml version="1.0" encoding="utf-8"?>
<ds:datastoreItem xmlns:ds="http://schemas.openxmlformats.org/officeDocument/2006/customXml" ds:itemID="{72A16827-02EB-4156-8CE6-B632AC39F4C6}">
  <ds:schemaRefs/>
</ds:datastoreItem>
</file>

<file path=customXml/itemProps21.xml><?xml version="1.0" encoding="utf-8"?>
<ds:datastoreItem xmlns:ds="http://schemas.openxmlformats.org/officeDocument/2006/customXml" ds:itemID="{B87CB2E9-6957-4E65-8FBC-6D16677718CD}">
  <ds:schemaRefs/>
</ds:datastoreItem>
</file>

<file path=customXml/itemProps22.xml><?xml version="1.0" encoding="utf-8"?>
<ds:datastoreItem xmlns:ds="http://schemas.openxmlformats.org/officeDocument/2006/customXml" ds:itemID="{17CFCFD2-FA5D-48F3-8F49-9088D68E54F0}">
  <ds:schemaRefs/>
</ds:datastoreItem>
</file>

<file path=customXml/itemProps23.xml><?xml version="1.0" encoding="utf-8"?>
<ds:datastoreItem xmlns:ds="http://schemas.openxmlformats.org/officeDocument/2006/customXml" ds:itemID="{A443A1A1-075B-4A4F-BB03-DF175F0D3E99}">
  <ds:schemaRefs/>
</ds:datastoreItem>
</file>

<file path=customXml/itemProps24.xml><?xml version="1.0" encoding="utf-8"?>
<ds:datastoreItem xmlns:ds="http://schemas.openxmlformats.org/officeDocument/2006/customXml" ds:itemID="{51384AA9-C1B7-46C4-BB4C-19251E0B361E}">
  <ds:schemaRefs/>
</ds:datastoreItem>
</file>

<file path=customXml/itemProps25.xml><?xml version="1.0" encoding="utf-8"?>
<ds:datastoreItem xmlns:ds="http://schemas.openxmlformats.org/officeDocument/2006/customXml" ds:itemID="{01E2DC68-197E-48A1-821A-678E8FC67059}">
  <ds:schemaRefs/>
</ds:datastoreItem>
</file>

<file path=customXml/itemProps26.xml><?xml version="1.0" encoding="utf-8"?>
<ds:datastoreItem xmlns:ds="http://schemas.openxmlformats.org/officeDocument/2006/customXml" ds:itemID="{B2B14C0C-A7B0-4D12-8899-A1A9369BB582}">
  <ds:schemaRefs/>
</ds:datastoreItem>
</file>

<file path=customXml/itemProps27.xml><?xml version="1.0" encoding="utf-8"?>
<ds:datastoreItem xmlns:ds="http://schemas.openxmlformats.org/officeDocument/2006/customXml" ds:itemID="{DC569C21-36D8-453E-94FF-7D0C23353232}">
  <ds:schemaRefs/>
</ds:datastoreItem>
</file>

<file path=customXml/itemProps28.xml><?xml version="1.0" encoding="utf-8"?>
<ds:datastoreItem xmlns:ds="http://schemas.openxmlformats.org/officeDocument/2006/customXml" ds:itemID="{FE7875D7-6472-4D0E-B46D-32720DEF6944}">
  <ds:schemaRefs/>
</ds:datastoreItem>
</file>

<file path=customXml/itemProps29.xml><?xml version="1.0" encoding="utf-8"?>
<ds:datastoreItem xmlns:ds="http://schemas.openxmlformats.org/officeDocument/2006/customXml" ds:itemID="{DE9BA3CF-AC44-4F4C-891F-7A7BADD07DDA}">
  <ds:schemaRefs/>
</ds:datastoreItem>
</file>

<file path=customXml/itemProps30.xml><?xml version="1.0" encoding="utf-8"?>
<ds:datastoreItem xmlns:ds="http://schemas.openxmlformats.org/officeDocument/2006/customXml" ds:itemID="{05D54214-4E59-47CD-BD2B-28C750823D0A}">
  <ds:schemaRefs/>
</ds:datastoreItem>
</file>

<file path=customXml/itemProps31.xml><?xml version="1.0" encoding="utf-8"?>
<ds:datastoreItem xmlns:ds="http://schemas.openxmlformats.org/officeDocument/2006/customXml" ds:itemID="{2069D8CC-38B6-469F-971D-53EFED5D61BE}">
  <ds:schemaRefs/>
</ds:datastoreItem>
</file>

<file path=customXml/itemProps32.xml><?xml version="1.0" encoding="utf-8"?>
<ds:datastoreItem xmlns:ds="http://schemas.openxmlformats.org/officeDocument/2006/customXml" ds:itemID="{FC8645D3-AF9F-4FF4-9C57-07213413B58E}">
  <ds:schemaRefs/>
</ds:datastoreItem>
</file>

<file path=customXml/itemProps33.xml><?xml version="1.0" encoding="utf-8"?>
<ds:datastoreItem xmlns:ds="http://schemas.openxmlformats.org/officeDocument/2006/customXml" ds:itemID="{ADBD3A34-3633-43F6-99BA-99077997547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 RRHH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roberto castillo castillo</dc:creator>
  <cp:lastModifiedBy>roberto castillo castillo</cp:lastModifiedBy>
  <dcterms:created xsi:type="dcterms:W3CDTF">2025-08-06T17:43:55Z</dcterms:created>
  <dcterms:modified xsi:type="dcterms:W3CDTF">2025-08-20T17:30:21Z</dcterms:modified>
</cp:coreProperties>
</file>